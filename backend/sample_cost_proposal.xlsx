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Proposal Spreadsheet" sheetId="1" state="visible" r:id="rId1"/>
    <sheet xmlns:r="http://schemas.openxmlformats.org/officeDocument/2006/relationships" name="Subcontractor Fee_MH Rate 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b val="1"/>
      <sz val="11"/>
    </font>
    <font>
      <b val="1"/>
      <sz val="12"/>
    </font>
    <font>
      <b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0" fillId="0" borderId="0" pivotButton="0" quotePrefix="0" xfId="0"/>
    <xf numFmtId="0" fontId="4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30" customWidth="1" min="2" max="2"/>
    <col width="25" customWidth="1" min="3" max="3"/>
    <col width="12" customWidth="1" min="4" max="4"/>
    <col width="15" customWidth="1" min="5" max="5"/>
    <col width="12" customWidth="1" min="6" max="6"/>
    <col width="10" customWidth="1" min="7" max="7"/>
    <col width="15" customWidth="1" min="8" max="8"/>
    <col width="12" customWidth="1" min="9" max="9"/>
    <col width="10" customWidth="1" min="10" max="10"/>
    <col width="15" customWidth="1" min="11" max="11"/>
    <col width="12" customWidth="1" min="12" max="12"/>
    <col width="10" customWidth="1" min="13" max="13"/>
    <col width="15" customWidth="1" min="14" max="14"/>
    <col width="12" customWidth="1" min="15" max="15"/>
    <col width="10" customWidth="1" min="16" max="16"/>
    <col width="15" customWidth="1" min="17" max="17"/>
    <col width="12" customWidth="1" min="18" max="18"/>
    <col width="10" customWidth="1" min="19" max="19"/>
    <col width="15" customWidth="1" min="20" max="20"/>
    <col width="12" customWidth="1" min="21" max="21"/>
    <col width="10" customWidth="1" min="22" max="22"/>
    <col width="15" customWidth="1" min="23" max="23"/>
  </cols>
  <sheetData>
    <row r="1">
      <c r="A1" s="1" t="inlineStr">
        <is>
          <t>SOLICITATION NO. N0017825R3013</t>
        </is>
      </c>
      <c r="I1" s="2" t="inlineStr">
        <is>
          <t>Escalation</t>
        </is>
      </c>
      <c r="L1" s="2" t="inlineStr">
        <is>
          <t>Escalation</t>
        </is>
      </c>
      <c r="O1" s="2" t="inlineStr">
        <is>
          <t>Escalation</t>
        </is>
      </c>
      <c r="R1" s="2" t="inlineStr">
        <is>
          <t>Escalation</t>
        </is>
      </c>
      <c r="U1" s="2" t="inlineStr">
        <is>
          <t>Escalation</t>
        </is>
      </c>
    </row>
    <row r="2">
      <c r="A2" s="2" t="inlineStr">
        <is>
          <t>COST PROPOSAL SPREADSHEET</t>
        </is>
      </c>
      <c r="I2" s="2" t="n">
        <v>0.0272</v>
      </c>
      <c r="L2" s="2" t="n">
        <v>0.0299</v>
      </c>
      <c r="O2" s="2" t="n">
        <v>0.028</v>
      </c>
      <c r="R2" s="2" t="n">
        <v>0.0285</v>
      </c>
      <c r="U2" s="2" t="n">
        <v>0.029</v>
      </c>
    </row>
    <row r="3"/>
    <row r="4">
      <c r="A4" s="2" t="inlineStr">
        <is>
          <t>Prime Offeror Name: Test Company Inc.</t>
        </is>
      </c>
    </row>
    <row r="5">
      <c r="A5" s="2" t="inlineStr">
        <is>
          <t>Subcontractor Name (if applicable): Astrion Group LLC, Deloitte Consulting LLP</t>
        </is>
      </c>
    </row>
    <row r="6">
      <c r="A6" s="2" t="inlineStr">
        <is>
          <t>DCAA Point of Contact Information: test.contact@dcaa.mil</t>
        </is>
      </c>
    </row>
    <row r="7">
      <c r="D7" s="3" t="inlineStr">
        <is>
          <t>Total for All Years</t>
        </is>
      </c>
      <c r="F7" s="4" t="inlineStr">
        <is>
          <t>Base Period</t>
        </is>
      </c>
      <c r="I7" s="4" t="inlineStr">
        <is>
          <t>Option Year 1</t>
        </is>
      </c>
      <c r="L7" s="4" t="inlineStr">
        <is>
          <t>Option Year 2</t>
        </is>
      </c>
      <c r="O7" s="4" t="inlineStr">
        <is>
          <t>Option Year 3</t>
        </is>
      </c>
      <c r="R7" s="4" t="inlineStr">
        <is>
          <t>Option Year 4</t>
        </is>
      </c>
      <c r="U7" s="4" t="inlineStr">
        <is>
          <t>Option Year 5</t>
        </is>
      </c>
    </row>
    <row r="8">
      <c r="A8" s="5" t="inlineStr">
        <is>
          <t>Cost Elements</t>
        </is>
      </c>
      <c r="B8" s="5" t="inlineStr">
        <is>
          <t>Company Labor Category</t>
        </is>
      </c>
      <c r="C8" s="5" t="inlineStr">
        <is>
          <t>eCRAFT Labor Category</t>
        </is>
      </c>
      <c r="D8" s="5" t="inlineStr">
        <is>
          <t>Hours</t>
        </is>
      </c>
      <c r="E8" s="5" t="inlineStr">
        <is>
          <t>Amount</t>
        </is>
      </c>
      <c r="F8" s="5" t="inlineStr">
        <is>
          <t>Rate</t>
        </is>
      </c>
      <c r="G8" s="5" t="inlineStr">
        <is>
          <t>Hours</t>
        </is>
      </c>
      <c r="H8" s="5" t="inlineStr">
        <is>
          <t>Amount</t>
        </is>
      </c>
      <c r="I8" s="5" t="inlineStr">
        <is>
          <t>Rate</t>
        </is>
      </c>
      <c r="J8" s="5" t="inlineStr">
        <is>
          <t>Hours</t>
        </is>
      </c>
      <c r="K8" s="5" t="inlineStr">
        <is>
          <t>Amount</t>
        </is>
      </c>
      <c r="L8" s="5" t="inlineStr">
        <is>
          <t>Rate</t>
        </is>
      </c>
      <c r="M8" s="5" t="inlineStr">
        <is>
          <t>Hours</t>
        </is>
      </c>
      <c r="N8" s="5" t="inlineStr">
        <is>
          <t>Amount</t>
        </is>
      </c>
      <c r="O8" s="5" t="inlineStr">
        <is>
          <t>Rate</t>
        </is>
      </c>
      <c r="P8" s="5" t="inlineStr">
        <is>
          <t>Hours</t>
        </is>
      </c>
      <c r="Q8" s="5" t="inlineStr">
        <is>
          <t>Amount</t>
        </is>
      </c>
      <c r="R8" s="5" t="inlineStr">
        <is>
          <t>Rate</t>
        </is>
      </c>
      <c r="S8" s="5" t="inlineStr">
        <is>
          <t>Hours</t>
        </is>
      </c>
      <c r="T8" s="5" t="inlineStr">
        <is>
          <t>Amount</t>
        </is>
      </c>
      <c r="U8" s="5" t="inlineStr">
        <is>
          <t>Rate</t>
        </is>
      </c>
      <c r="V8" s="5" t="inlineStr">
        <is>
          <t>Hours</t>
        </is>
      </c>
      <c r="W8" s="5" t="inlineStr">
        <is>
          <t>Amount</t>
        </is>
      </c>
    </row>
    <row r="9">
      <c r="A9" s="2" t="inlineStr">
        <is>
          <t>Prime Contractor Labor Cost</t>
        </is>
      </c>
    </row>
    <row r="10">
      <c r="A10" s="2" t="inlineStr">
        <is>
          <t>Prime Contractor Direct Labor</t>
        </is>
      </c>
    </row>
    <row r="11">
      <c r="A11" t="inlineStr">
        <is>
          <t>Key - Individual 1</t>
        </is>
      </c>
      <c r="B11" t="inlineStr">
        <is>
          <t>Program Manager, Senior</t>
        </is>
      </c>
      <c r="C11" t="inlineStr">
        <is>
          <t>MANAGER, PROGRAM/PROJECT II</t>
        </is>
      </c>
      <c r="D11">
        <f>G11+J11+M11+P11+S11+V11</f>
        <v/>
      </c>
      <c r="E11" s="6">
        <f>H11+K11+N11+Q11+T11+W11</f>
        <v/>
      </c>
      <c r="F11" s="6" t="n">
        <v>126.13</v>
      </c>
      <c r="G11" t="n">
        <v>1880</v>
      </c>
      <c r="H11" s="6">
        <f>F11*G11</f>
        <v/>
      </c>
      <c r="I11" s="6" t="n">
        <v>129.56</v>
      </c>
      <c r="J11" t="n">
        <v>1880</v>
      </c>
      <c r="K11" s="6">
        <f>I11*J11</f>
        <v/>
      </c>
      <c r="L11" s="6" t="n">
        <v>133.43</v>
      </c>
      <c r="M11" t="n">
        <v>1880</v>
      </c>
      <c r="N11" s="6">
        <f>L11*M11</f>
        <v/>
      </c>
      <c r="O11" s="6" t="n">
        <v>137.17</v>
      </c>
      <c r="P11" t="n">
        <v>1880</v>
      </c>
      <c r="Q11" s="6">
        <f>O11*P11</f>
        <v/>
      </c>
      <c r="R11" s="6" t="n">
        <v>141.08</v>
      </c>
      <c r="S11" t="n">
        <v>1880</v>
      </c>
      <c r="T11" s="6">
        <f>R11*S11</f>
        <v/>
      </c>
      <c r="U11" s="6" t="n">
        <v>145.17</v>
      </c>
      <c r="V11" t="n">
        <v>1880</v>
      </c>
      <c r="W11" s="6">
        <f>U11*V11</f>
        <v/>
      </c>
    </row>
    <row r="12">
      <c r="A12" t="inlineStr">
        <is>
          <t>Key - Individual 2</t>
        </is>
      </c>
      <c r="B12" t="inlineStr">
        <is>
          <t>Systems Analyst, Senior</t>
        </is>
      </c>
      <c r="C12" t="inlineStr">
        <is>
          <t>ENGINEER, SYSTEMS III</t>
        </is>
      </c>
      <c r="D12">
        <f>G12+J12+M12+P12+S12+V12</f>
        <v/>
      </c>
      <c r="E12" s="6">
        <f>H12+K12+N12+Q12+T12+W12</f>
        <v/>
      </c>
      <c r="F12" s="6" t="n">
        <v>108.72</v>
      </c>
      <c r="G12" t="n">
        <v>1880</v>
      </c>
      <c r="H12" s="6">
        <f>F12*G12</f>
        <v/>
      </c>
      <c r="I12" s="6" t="n">
        <v>111.68</v>
      </c>
      <c r="J12" t="n">
        <v>1880</v>
      </c>
      <c r="K12" s="6">
        <f>I12*J12</f>
        <v/>
      </c>
      <c r="L12" s="6" t="n">
        <v>115.02</v>
      </c>
      <c r="M12" t="n">
        <v>1880</v>
      </c>
      <c r="N12" s="6">
        <f>L12*M12</f>
        <v/>
      </c>
      <c r="O12" s="6" t="n">
        <v>118.24</v>
      </c>
      <c r="P12" t="n">
        <v>1880</v>
      </c>
      <c r="Q12" s="6">
        <f>O12*P12</f>
        <v/>
      </c>
      <c r="R12" s="6" t="n">
        <v>121.61</v>
      </c>
      <c r="S12" t="n">
        <v>1880</v>
      </c>
      <c r="T12" s="6">
        <f>R12*S12</f>
        <v/>
      </c>
      <c r="U12" s="6" t="n">
        <v>125.13</v>
      </c>
      <c r="V12" t="n">
        <v>1880</v>
      </c>
      <c r="W12" s="6">
        <f>U12*V12</f>
        <v/>
      </c>
    </row>
    <row r="13">
      <c r="A13" t="inlineStr">
        <is>
          <t>TBD</t>
        </is>
      </c>
      <c r="B13" t="inlineStr">
        <is>
          <t>Software Engineer, Senior</t>
        </is>
      </c>
      <c r="C13" t="inlineStr">
        <is>
          <t>ENGINEER, SOFTWARE III</t>
        </is>
      </c>
      <c r="D13">
        <f>G13+J13+M13+P13+S13+V13</f>
        <v/>
      </c>
      <c r="E13" s="6">
        <f>H13+K13+N13+Q13+T13+W13</f>
        <v/>
      </c>
      <c r="F13" s="6" t="n">
        <v>113.08</v>
      </c>
      <c r="G13" t="n">
        <v>1880</v>
      </c>
      <c r="H13" s="6">
        <f>F13*G13</f>
        <v/>
      </c>
      <c r="I13" s="6" t="n">
        <v>116.16</v>
      </c>
      <c r="J13" t="n">
        <v>1880</v>
      </c>
      <c r="K13" s="6">
        <f>I13*J13</f>
        <v/>
      </c>
      <c r="L13" s="6" t="n">
        <v>119.63</v>
      </c>
      <c r="M13" t="n">
        <v>1880</v>
      </c>
      <c r="N13" s="6">
        <f>L13*M13</f>
        <v/>
      </c>
      <c r="O13" s="6" t="n">
        <v>122.98</v>
      </c>
      <c r="P13" t="n">
        <v>1880</v>
      </c>
      <c r="Q13" s="6">
        <f>O13*P13</f>
        <v/>
      </c>
      <c r="R13" s="6" t="n">
        <v>126.48</v>
      </c>
      <c r="S13" t="n">
        <v>1880</v>
      </c>
      <c r="T13" s="6">
        <f>R13*S13</f>
        <v/>
      </c>
      <c r="U13" s="6" t="n">
        <v>130.15</v>
      </c>
      <c r="V13" t="n">
        <v>1880</v>
      </c>
      <c r="W13" s="6">
        <f>U13*V13</f>
        <v/>
      </c>
    </row>
    <row r="14">
      <c r="A14" t="inlineStr">
        <is>
          <t>Total Direct Labor</t>
        </is>
      </c>
      <c r="E14" s="6">
        <f>SUM(E11:E13)</f>
        <v/>
      </c>
      <c r="F14" s="6" t="n"/>
      <c r="H14" s="6" t="n"/>
      <c r="I14" s="6" t="n"/>
      <c r="K14" s="6" t="n"/>
      <c r="L14" s="6" t="n"/>
      <c r="N14" s="6" t="n"/>
      <c r="O14" s="6" t="n"/>
      <c r="Q14" s="6" t="n"/>
      <c r="R14" s="6" t="n"/>
      <c r="T14" s="6" t="n"/>
      <c r="U14" s="6" t="n"/>
      <c r="W14" s="6" t="n"/>
    </row>
    <row r="15">
      <c r="A15" t="inlineStr">
        <is>
          <t>Overhead</t>
        </is>
      </c>
      <c r="E15" s="6" t="n"/>
      <c r="F15" s="6" t="n"/>
      <c r="H15" s="6" t="n"/>
      <c r="I15" s="6" t="n"/>
      <c r="K15" s="6" t="n"/>
      <c r="L15" s="6" t="n"/>
      <c r="N15" s="6" t="n"/>
      <c r="O15" s="6" t="n"/>
      <c r="Q15" s="6" t="n"/>
      <c r="R15" s="6" t="n"/>
      <c r="T15" s="6" t="n"/>
      <c r="U15" s="6" t="n"/>
      <c r="W15" s="6" t="n"/>
    </row>
    <row r="16">
      <c r="A16" t="inlineStr">
        <is>
          <t>Fringe</t>
        </is>
      </c>
      <c r="E16" s="6" t="n"/>
      <c r="F16" s="6" t="n"/>
      <c r="H16" s="6" t="n"/>
      <c r="I16" s="6" t="n"/>
      <c r="K16" s="6" t="n"/>
      <c r="L16" s="6" t="n"/>
      <c r="N16" s="6" t="n"/>
      <c r="O16" s="6" t="n"/>
      <c r="Q16" s="6" t="n"/>
      <c r="R16" s="6" t="n"/>
      <c r="T16" s="6" t="n"/>
      <c r="U16" s="6" t="n"/>
      <c r="W16" s="6" t="n"/>
    </row>
    <row r="17">
      <c r="A17" t="inlineStr">
        <is>
          <t>G&amp;A</t>
        </is>
      </c>
      <c r="E17" s="6" t="n"/>
      <c r="F17" s="6" t="n"/>
      <c r="H17" s="6" t="n"/>
      <c r="I17" s="6" t="n"/>
      <c r="K17" s="6" t="n"/>
      <c r="L17" s="6" t="n"/>
      <c r="N17" s="6" t="n"/>
      <c r="O17" s="6" t="n"/>
      <c r="Q17" s="6" t="n"/>
      <c r="R17" s="6" t="n"/>
      <c r="T17" s="6" t="n"/>
      <c r="U17" s="6" t="n"/>
      <c r="W17" s="6" t="n"/>
    </row>
    <row r="18">
      <c r="E18" s="6" t="n"/>
      <c r="F18" s="6" t="n"/>
      <c r="H18" s="6" t="n"/>
      <c r="I18" s="6" t="n"/>
      <c r="K18" s="6" t="n"/>
      <c r="L18" s="6" t="n"/>
      <c r="N18" s="6" t="n"/>
      <c r="O18" s="6" t="n"/>
      <c r="Q18" s="6" t="n"/>
      <c r="R18" s="6" t="n"/>
      <c r="T18" s="6" t="n"/>
      <c r="U18" s="6" t="n"/>
      <c r="W18" s="6" t="n"/>
    </row>
    <row r="19">
      <c r="A19" t="inlineStr">
        <is>
          <t>Subcontractor Labor Cost</t>
        </is>
      </c>
      <c r="E19" s="6" t="n"/>
      <c r="F19" s="6" t="n"/>
      <c r="H19" s="6" t="n"/>
      <c r="I19" s="6" t="n"/>
      <c r="K19" s="6" t="n"/>
      <c r="L19" s="6" t="n"/>
      <c r="N19" s="6" t="n"/>
      <c r="O19" s="6" t="n"/>
      <c r="Q19" s="6" t="n"/>
      <c r="R19" s="6" t="n"/>
      <c r="T19" s="6" t="n"/>
      <c r="U19" s="6" t="n"/>
      <c r="W19" s="6" t="n"/>
    </row>
    <row r="20">
      <c r="A20" t="inlineStr">
        <is>
          <t>Subcontractor proposed cost and fee</t>
        </is>
      </c>
      <c r="E20" s="6" t="n"/>
      <c r="F20" s="6" t="n"/>
      <c r="H20" s="6" t="n"/>
      <c r="I20" s="6" t="n"/>
      <c r="K20" s="6" t="n"/>
      <c r="L20" s="6" t="n"/>
      <c r="N20" s="6" t="n"/>
      <c r="O20" s="6" t="n"/>
      <c r="Q20" s="6" t="n"/>
      <c r="R20" s="6" t="n"/>
      <c r="T20" s="6" t="n"/>
      <c r="U20" s="6" t="n"/>
      <c r="W20" s="6" t="n"/>
    </row>
    <row r="21">
      <c r="A21" t="inlineStr">
        <is>
          <t>Subcontractor 1 (Astrion Group LLC)</t>
        </is>
      </c>
      <c r="E21" s="6" t="n"/>
      <c r="F21" s="6" t="n"/>
      <c r="H21" s="6" t="n"/>
      <c r="I21" s="6" t="n"/>
      <c r="K21" s="6" t="n"/>
      <c r="L21" s="6" t="n"/>
      <c r="N21" s="6" t="n"/>
      <c r="O21" s="6" t="n"/>
      <c r="Q21" s="6" t="n"/>
      <c r="R21" s="6" t="n"/>
      <c r="T21" s="6" t="n"/>
      <c r="U21" s="6" t="n"/>
      <c r="W21" s="6" t="n"/>
    </row>
    <row r="22">
      <c r="A22" t="inlineStr"/>
      <c r="B22" t="inlineStr">
        <is>
          <t>Systems Administrator (Windows)</t>
        </is>
      </c>
      <c r="C22" t="inlineStr">
        <is>
          <t>SYSTEMS ADMINISTRATOR II</t>
        </is>
      </c>
      <c r="D22">
        <f>G22+J22+M22+P22+S22+V22</f>
        <v/>
      </c>
      <c r="E22" s="6">
        <f>H22+K22+N22+Q22+T22+W22</f>
        <v/>
      </c>
      <c r="F22" s="6" t="n">
        <v>107.33</v>
      </c>
      <c r="G22" t="n">
        <v>1880</v>
      </c>
      <c r="H22" s="6">
        <f>F22*G22</f>
        <v/>
      </c>
      <c r="I22" s="6" t="n">
        <v>110.25</v>
      </c>
      <c r="J22" t="n">
        <v>1880</v>
      </c>
      <c r="K22" s="6">
        <f>I22*J22</f>
        <v/>
      </c>
      <c r="L22" s="6" t="n">
        <v>113.54</v>
      </c>
      <c r="M22" t="n">
        <v>1880</v>
      </c>
      <c r="N22" s="6">
        <f>L22*M22</f>
        <v/>
      </c>
      <c r="O22" s="6" t="n">
        <v>116.72</v>
      </c>
      <c r="P22" t="n">
        <v>1880</v>
      </c>
      <c r="Q22" s="6">
        <f>O22*P22</f>
        <v/>
      </c>
      <c r="R22" s="6" t="n">
        <v>120.05</v>
      </c>
      <c r="S22" t="n">
        <v>1880</v>
      </c>
      <c r="T22" s="6">
        <f>R22*S22</f>
        <v/>
      </c>
      <c r="U22" s="6" t="n">
        <v>123.53</v>
      </c>
      <c r="V22" t="n">
        <v>1880</v>
      </c>
      <c r="W22" s="6">
        <f>U22*V22</f>
        <v/>
      </c>
    </row>
    <row r="23">
      <c r="E23" s="6" t="n"/>
      <c r="F23" s="6" t="n"/>
      <c r="H23" s="6" t="n"/>
      <c r="I23" s="6" t="n"/>
      <c r="K23" s="6" t="n"/>
      <c r="L23" s="6" t="n"/>
      <c r="N23" s="6" t="n"/>
      <c r="O23" s="6" t="n"/>
      <c r="Q23" s="6" t="n"/>
      <c r="R23" s="6" t="n"/>
      <c r="T23" s="6" t="n"/>
      <c r="U23" s="6" t="n"/>
      <c r="W23" s="6" t="n"/>
    </row>
    <row r="24">
      <c r="A24" t="inlineStr">
        <is>
          <t>Total proposed subcontractor labor cost and fee</t>
        </is>
      </c>
      <c r="E24" s="6">
        <f>SUM(E21:E23)</f>
        <v/>
      </c>
      <c r="F24" s="6" t="n"/>
      <c r="H24" s="6" t="n"/>
      <c r="I24" s="6" t="n"/>
      <c r="K24" s="6" t="n"/>
      <c r="L24" s="6" t="n"/>
      <c r="N24" s="6" t="n"/>
      <c r="O24" s="6" t="n"/>
      <c r="Q24" s="6" t="n"/>
      <c r="R24" s="6" t="n"/>
      <c r="T24" s="6" t="n"/>
      <c r="U24" s="6" t="n"/>
      <c r="W24" s="6" t="n"/>
    </row>
    <row r="25">
      <c r="E25" s="6" t="n"/>
      <c r="F25" s="6" t="n"/>
      <c r="H25" s="6" t="n"/>
      <c r="I25" s="6" t="n"/>
      <c r="K25" s="6" t="n"/>
      <c r="L25" s="6" t="n"/>
      <c r="N25" s="6" t="n"/>
      <c r="O25" s="6" t="n"/>
      <c r="Q25" s="6" t="n"/>
      <c r="R25" s="6" t="n"/>
      <c r="T25" s="6" t="n"/>
      <c r="U25" s="6" t="n"/>
      <c r="W25" s="6" t="n"/>
    </row>
    <row r="26">
      <c r="A26" t="inlineStr">
        <is>
          <t>Prime contractor pass through (not including fee)</t>
        </is>
      </c>
      <c r="E26" s="6" t="n"/>
      <c r="F26" s="6" t="n"/>
      <c r="H26" s="6" t="n"/>
      <c r="I26" s="6" t="n"/>
      <c r="K26" s="6" t="n"/>
      <c r="L26" s="6" t="n"/>
      <c r="N26" s="6" t="n"/>
      <c r="O26" s="6" t="n"/>
      <c r="Q26" s="6" t="n"/>
      <c r="R26" s="6" t="n"/>
      <c r="T26" s="6" t="n"/>
      <c r="U26" s="6" t="n"/>
      <c r="W26" s="6" t="n"/>
    </row>
    <row r="27">
      <c r="A27" t="inlineStr">
        <is>
          <t>Handling</t>
        </is>
      </c>
      <c r="E27" s="6">
        <f>H27+K27+N27+Q27+T27+W27</f>
        <v/>
      </c>
      <c r="F27" s="6" t="n">
        <v>0.0665</v>
      </c>
      <c r="H27" s="6">
        <f>H24*0.0665</f>
        <v/>
      </c>
      <c r="I27" s="6" t="n"/>
      <c r="K27" s="6">
        <f>K24*0.0665</f>
        <v/>
      </c>
      <c r="L27" s="6" t="n"/>
      <c r="N27" s="6">
        <f>N24*0.0665</f>
        <v/>
      </c>
      <c r="O27" s="6" t="n"/>
      <c r="Q27" s="6">
        <f>Q24*0.0665</f>
        <v/>
      </c>
      <c r="R27" s="6" t="n"/>
      <c r="T27" s="6">
        <f>T24*0.0665</f>
        <v/>
      </c>
      <c r="U27" s="6" t="n"/>
      <c r="W27" s="6">
        <f>W24*0.0665</f>
        <v/>
      </c>
    </row>
    <row r="28">
      <c r="A28" t="inlineStr">
        <is>
          <t>Other (if any)</t>
        </is>
      </c>
      <c r="E28" s="6" t="n"/>
      <c r="F28" s="6" t="n"/>
      <c r="H28" s="6" t="n"/>
      <c r="I28" s="6" t="n"/>
      <c r="K28" s="6" t="n"/>
      <c r="L28" s="6" t="n"/>
      <c r="N28" s="6" t="n"/>
      <c r="O28" s="6" t="n"/>
      <c r="Q28" s="6" t="n"/>
      <c r="R28" s="6" t="n"/>
      <c r="T28" s="6" t="n"/>
      <c r="U28" s="6" t="n"/>
      <c r="W28" s="6" t="n"/>
    </row>
    <row r="29">
      <c r="A29" t="inlineStr">
        <is>
          <t>Total pass through (not including fee)</t>
        </is>
      </c>
      <c r="E29" s="6" t="n"/>
      <c r="F29" s="6" t="n"/>
      <c r="H29" s="6" t="n"/>
      <c r="I29" s="6" t="n"/>
      <c r="K29" s="6" t="n"/>
      <c r="L29" s="6" t="n"/>
      <c r="N29" s="6" t="n"/>
      <c r="O29" s="6" t="n"/>
      <c r="Q29" s="6" t="n"/>
      <c r="R29" s="6" t="n"/>
      <c r="T29" s="6" t="n"/>
      <c r="U29" s="6" t="n"/>
      <c r="W29" s="6" t="n"/>
    </row>
    <row r="30">
      <c r="A30" t="inlineStr">
        <is>
          <t>Total Subcontractor Cost including pass through</t>
        </is>
      </c>
      <c r="E30" s="6" t="n"/>
      <c r="F30" s="6" t="n"/>
      <c r="H30" s="6" t="n"/>
      <c r="I30" s="6" t="n"/>
      <c r="K30" s="6" t="n"/>
      <c r="L30" s="6" t="n"/>
      <c r="N30" s="6" t="n"/>
      <c r="O30" s="6" t="n"/>
      <c r="Q30" s="6" t="n"/>
      <c r="R30" s="6" t="n"/>
      <c r="T30" s="6" t="n"/>
      <c r="U30" s="6" t="n"/>
      <c r="W30" s="6" t="n"/>
    </row>
    <row r="31">
      <c r="E31" s="6" t="n"/>
      <c r="F31" s="6" t="n"/>
      <c r="H31" s="6" t="n"/>
      <c r="I31" s="6" t="n"/>
      <c r="K31" s="6" t="n"/>
      <c r="L31" s="6" t="n"/>
      <c r="N31" s="6" t="n"/>
      <c r="O31" s="6" t="n"/>
      <c r="Q31" s="6" t="n"/>
      <c r="R31" s="6" t="n"/>
      <c r="T31" s="6" t="n"/>
      <c r="U31" s="6" t="n"/>
      <c r="W31" s="6" t="n"/>
    </row>
    <row r="32">
      <c r="A32" t="inlineStr">
        <is>
          <t>Total Labor Cost (Prime and Subcontractor Labor)</t>
        </is>
      </c>
      <c r="E32" s="6" t="n"/>
      <c r="F32" s="6" t="n"/>
      <c r="H32" s="6" t="n"/>
      <c r="I32" s="6" t="n"/>
      <c r="K32" s="6" t="n"/>
      <c r="L32" s="6" t="n"/>
      <c r="N32" s="6" t="n"/>
      <c r="O32" s="6" t="n"/>
      <c r="Q32" s="6" t="n"/>
      <c r="R32" s="6" t="n"/>
      <c r="T32" s="6" t="n"/>
      <c r="U32" s="6" t="n"/>
      <c r="W32" s="6" t="n"/>
    </row>
    <row r="33">
      <c r="E33" s="6" t="n"/>
      <c r="F33" s="6" t="n"/>
      <c r="H33" s="6" t="n"/>
      <c r="I33" s="6" t="n"/>
      <c r="K33" s="6" t="n"/>
      <c r="L33" s="6" t="n"/>
      <c r="N33" s="6" t="n"/>
      <c r="O33" s="6" t="n"/>
      <c r="Q33" s="6" t="n"/>
      <c r="R33" s="6" t="n"/>
      <c r="T33" s="6" t="n"/>
      <c r="U33" s="6" t="n"/>
      <c r="W33" s="6" t="n"/>
    </row>
    <row r="34">
      <c r="A34" t="inlineStr">
        <is>
          <t>Fixed Fee</t>
        </is>
      </c>
      <c r="E34" s="6" t="n"/>
      <c r="F34" s="6" t="n"/>
      <c r="H34" s="6" t="n"/>
      <c r="I34" s="6" t="n"/>
      <c r="K34" s="6" t="n"/>
      <c r="L34" s="6" t="n"/>
      <c r="N34" s="6" t="n"/>
      <c r="O34" s="6" t="n"/>
      <c r="Q34" s="6" t="n"/>
      <c r="R34" s="6" t="n"/>
      <c r="T34" s="6" t="n"/>
      <c r="U34" s="6" t="n"/>
      <c r="W34" s="6" t="n"/>
    </row>
    <row r="35">
      <c r="A35" t="inlineStr">
        <is>
          <t>Prime Contractor Fee for Prime Contractor Labor</t>
        </is>
      </c>
      <c r="E35" s="6" t="n"/>
      <c r="F35" s="6" t="n">
        <v>0.08</v>
      </c>
      <c r="H35" s="6" t="n"/>
      <c r="I35" s="6" t="n"/>
      <c r="K35" s="6" t="n"/>
      <c r="L35" s="6" t="n"/>
      <c r="N35" s="6" t="n"/>
      <c r="O35" s="6" t="n"/>
      <c r="Q35" s="6" t="n"/>
      <c r="R35" s="6" t="n"/>
      <c r="T35" s="6" t="n"/>
      <c r="U35" s="6" t="n"/>
      <c r="W35" s="6" t="n"/>
    </row>
    <row r="36">
      <c r="A36" t="inlineStr">
        <is>
          <t>Prime Contractor Fee for Subcontractor Labor *</t>
        </is>
      </c>
      <c r="E36" s="6" t="n"/>
      <c r="F36" s="6" t="n">
        <v>0.0126</v>
      </c>
      <c r="H36" s="6" t="n"/>
      <c r="I36" s="6" t="n"/>
      <c r="K36" s="6" t="n"/>
      <c r="L36" s="6" t="n"/>
      <c r="N36" s="6" t="n"/>
      <c r="O36" s="6" t="n"/>
      <c r="Q36" s="6" t="n"/>
      <c r="R36" s="6" t="n"/>
      <c r="T36" s="6" t="n"/>
      <c r="U36" s="6" t="n"/>
      <c r="W36" s="6" t="n"/>
    </row>
    <row r="37">
      <c r="A37" t="inlineStr">
        <is>
          <t>Total Fee (for Prime and Subcontractor Labor)</t>
        </is>
      </c>
      <c r="E37" s="6" t="n"/>
      <c r="F37" s="6" t="n"/>
      <c r="H37" s="6" t="n"/>
      <c r="I37" s="6" t="n"/>
      <c r="K37" s="6" t="n"/>
      <c r="L37" s="6" t="n"/>
      <c r="N37" s="6" t="n"/>
      <c r="O37" s="6" t="n"/>
      <c r="Q37" s="6" t="n"/>
      <c r="R37" s="6" t="n"/>
      <c r="T37" s="6" t="n"/>
      <c r="U37" s="6" t="n"/>
      <c r="W37" s="6" t="n"/>
    </row>
    <row r="38">
      <c r="E38" s="6" t="n"/>
      <c r="F38" s="6" t="n"/>
      <c r="H38" s="6" t="n"/>
      <c r="I38" s="6" t="n"/>
      <c r="K38" s="6" t="n"/>
      <c r="L38" s="6" t="n"/>
      <c r="N38" s="6" t="n"/>
      <c r="O38" s="6" t="n"/>
      <c r="Q38" s="6" t="n"/>
      <c r="R38" s="6" t="n"/>
      <c r="T38" s="6" t="n"/>
      <c r="U38" s="6" t="n"/>
      <c r="W38" s="6" t="n"/>
    </row>
    <row r="39">
      <c r="A39" t="inlineStr">
        <is>
          <t>Total Labor Cost Plus Fixed Fee (CPFF)</t>
        </is>
      </c>
      <c r="E39" s="6" t="n"/>
      <c r="F39" s="6" t="n"/>
      <c r="H39" s="6" t="n"/>
      <c r="I39" s="6" t="n"/>
      <c r="K39" s="6" t="n"/>
      <c r="L39" s="6" t="n"/>
      <c r="N39" s="6" t="n"/>
      <c r="O39" s="6" t="n"/>
      <c r="Q39" s="6" t="n"/>
      <c r="R39" s="6" t="n"/>
      <c r="T39" s="6" t="n"/>
      <c r="U39" s="6" t="n"/>
      <c r="W39" s="6" t="n"/>
    </row>
    <row r="40">
      <c r="E40" s="6" t="n"/>
      <c r="F40" s="6" t="n"/>
      <c r="H40" s="6" t="n"/>
      <c r="I40" s="6" t="n"/>
      <c r="K40" s="6" t="n"/>
      <c r="L40" s="6" t="n"/>
      <c r="N40" s="6" t="n"/>
      <c r="O40" s="6" t="n"/>
      <c r="Q40" s="6" t="n"/>
      <c r="R40" s="6" t="n"/>
      <c r="T40" s="6" t="n"/>
      <c r="U40" s="6" t="n"/>
      <c r="W40" s="6" t="n"/>
    </row>
    <row r="41">
      <c r="A41" t="inlineStr">
        <is>
          <t>Other Direct Costs</t>
        </is>
      </c>
      <c r="E41" s="6" t="n"/>
      <c r="F41" s="6" t="n"/>
      <c r="H41" s="6" t="n"/>
      <c r="I41" s="6" t="n"/>
      <c r="K41" s="6" t="n"/>
      <c r="L41" s="6" t="n"/>
      <c r="N41" s="6" t="n"/>
      <c r="O41" s="6" t="n"/>
      <c r="Q41" s="6" t="n"/>
      <c r="R41" s="6" t="n"/>
      <c r="T41" s="6" t="n"/>
      <c r="U41" s="6" t="n"/>
      <c r="W41" s="6" t="n"/>
    </row>
    <row r="42">
      <c r="A42" t="inlineStr">
        <is>
          <t>Travel</t>
        </is>
      </c>
      <c r="E42" s="6">
        <f>H42+K42+N42+Q42+T42+W42</f>
        <v/>
      </c>
      <c r="F42" s="6" t="n"/>
      <c r="H42" s="6" t="n">
        <v>6106</v>
      </c>
      <c r="I42" s="6" t="n"/>
      <c r="K42" s="6" t="n">
        <v>6106</v>
      </c>
      <c r="L42" s="6" t="n"/>
      <c r="N42" s="6" t="n">
        <v>6106</v>
      </c>
      <c r="O42" s="6" t="n"/>
      <c r="Q42" s="6" t="n">
        <v>6106</v>
      </c>
      <c r="R42" s="6" t="n"/>
      <c r="T42" s="6" t="n">
        <v>6106</v>
      </c>
      <c r="U42" s="6" t="n"/>
      <c r="W42" s="6" t="n">
        <v>6106</v>
      </c>
    </row>
    <row r="43">
      <c r="A43" t="inlineStr">
        <is>
          <t>Equipment</t>
        </is>
      </c>
      <c r="E43" s="6">
        <f>H43+K43+N43+Q43+T43+W43</f>
        <v/>
      </c>
      <c r="F43" s="6" t="n"/>
      <c r="H43" s="6" t="n">
        <v>12212</v>
      </c>
      <c r="I43" s="6" t="n"/>
      <c r="K43" s="6" t="n">
        <v>12544.17</v>
      </c>
      <c r="L43" s="6" t="n"/>
      <c r="N43" s="6" t="n">
        <v>12919.23</v>
      </c>
      <c r="O43" s="6" t="n"/>
      <c r="Q43" s="6" t="n">
        <v>13280.98</v>
      </c>
      <c r="R43" s="6" t="n"/>
      <c r="T43" s="6" t="n">
        <v>13659.49</v>
      </c>
      <c r="U43" s="6" t="n"/>
      <c r="W43" s="6" t="n">
        <v>14055.61</v>
      </c>
    </row>
    <row r="44">
      <c r="A44" t="inlineStr">
        <is>
          <t>Total Other Direct Costs</t>
        </is>
      </c>
      <c r="E44" s="6">
        <f>SUM(E42:E43)</f>
        <v/>
      </c>
      <c r="F44" s="6" t="n"/>
      <c r="H44" s="6" t="n"/>
      <c r="I44" s="6" t="n"/>
      <c r="K44" s="6" t="n"/>
      <c r="L44" s="6" t="n"/>
      <c r="N44" s="6" t="n"/>
      <c r="O44" s="6" t="n"/>
      <c r="Q44" s="6" t="n"/>
      <c r="R44" s="6" t="n"/>
      <c r="T44" s="6" t="n"/>
      <c r="U44" s="6" t="n"/>
      <c r="W44" s="6" t="n"/>
    </row>
    <row r="45">
      <c r="E45" s="6" t="n"/>
      <c r="F45" s="6" t="n"/>
      <c r="H45" s="6" t="n"/>
      <c r="I45" s="6" t="n"/>
      <c r="K45" s="6" t="n"/>
      <c r="L45" s="6" t="n"/>
      <c r="N45" s="6" t="n"/>
      <c r="O45" s="6" t="n"/>
      <c r="Q45" s="6" t="n"/>
      <c r="R45" s="6" t="n"/>
      <c r="T45" s="6" t="n"/>
      <c r="U45" s="6" t="n"/>
      <c r="W45" s="6" t="n"/>
    </row>
    <row r="46">
      <c r="A46" t="inlineStr">
        <is>
          <t>GRAND TOTAL (Labor + Fee + ODCs)</t>
        </is>
      </c>
      <c r="E46" s="6" t="n"/>
      <c r="F46" s="6" t="n"/>
      <c r="H46" s="6" t="n"/>
      <c r="I46" s="6" t="n"/>
      <c r="K46" s="6" t="n"/>
      <c r="L46" s="6" t="n"/>
      <c r="N46" s="6" t="n"/>
      <c r="O46" s="6" t="n"/>
      <c r="Q46" s="6" t="n"/>
      <c r="R46" s="6" t="n"/>
      <c r="T46" s="6" t="n"/>
      <c r="U46" s="6" t="n"/>
      <c r="W46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O8"/>
  <sheetViews>
    <sheetView workbookViewId="0">
      <selection activeCell="A1" sqref="A1"/>
    </sheetView>
  </sheetViews>
  <sheetFormatPr baseColWidth="8" defaultRowHeight="15"/>
  <cols>
    <col width="12" customWidth="1" min="2" max="2"/>
    <col width="15" customWidth="1" min="3" max="3"/>
    <col width="12" customWidth="1" min="4" max="4"/>
    <col width="12" customWidth="1" min="5" max="5"/>
    <col width="15" customWidth="1" min="6" max="6"/>
    <col width="35" customWidth="1" min="8" max="8"/>
    <col width="15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2">
      <c r="C2" s="2" t="inlineStr">
        <is>
          <t>Nexagen FBLR</t>
        </is>
      </c>
      <c r="J2">
        <f>D8</f>
        <v/>
      </c>
      <c r="K2">
        <f>D7</f>
        <v/>
      </c>
      <c r="M2">
        <f>D4</f>
        <v/>
      </c>
      <c r="N2">
        <f>D3</f>
        <v/>
      </c>
    </row>
    <row r="3">
      <c r="B3" s="7" t="inlineStr">
        <is>
          <t>FEE</t>
        </is>
      </c>
      <c r="C3" s="6" t="n">
        <v>140</v>
      </c>
      <c r="D3" s="8" t="n">
        <v>0.0126</v>
      </c>
      <c r="E3" s="6">
        <f>C3*D3</f>
        <v/>
      </c>
      <c r="F3" s="6">
        <f>C3+E3</f>
        <v/>
      </c>
      <c r="H3" s="4" t="inlineStr">
        <is>
          <t>Labor Category</t>
        </is>
      </c>
      <c r="I3" s="4" t="inlineStr">
        <is>
          <t>Nexagen FBLR</t>
        </is>
      </c>
      <c r="J3" s="4" t="inlineStr">
        <is>
          <t>FEE</t>
        </is>
      </c>
      <c r="K3" s="4" t="inlineStr">
        <is>
          <t>S&amp;MH</t>
        </is>
      </c>
      <c r="L3" s="4" t="inlineStr">
        <is>
          <t>Target Rate</t>
        </is>
      </c>
      <c r="M3" s="4" t="inlineStr">
        <is>
          <t>S&amp;MH</t>
        </is>
      </c>
      <c r="N3" s="4" t="inlineStr">
        <is>
          <t>FEE</t>
        </is>
      </c>
      <c r="O3" s="4" t="inlineStr">
        <is>
          <t>Diff Check</t>
        </is>
      </c>
    </row>
    <row r="4">
      <c r="B4" s="7" t="inlineStr">
        <is>
          <t>S&amp;MH</t>
        </is>
      </c>
      <c r="C4" s="6">
        <f>F3</f>
        <v/>
      </c>
      <c r="D4" s="8" t="n">
        <v>0.0665</v>
      </c>
      <c r="E4" s="6">
        <f>C4*D4</f>
        <v/>
      </c>
      <c r="F4" s="6">
        <f>C4+E4</f>
        <v/>
      </c>
      <c r="H4" t="inlineStr">
        <is>
          <t>Systems Administrator (Windows)</t>
        </is>
      </c>
      <c r="I4" s="6" t="n">
        <v>107.33</v>
      </c>
      <c r="J4" s="6">
        <f>ROUND(I4-(I4*$J$2),0)</f>
        <v/>
      </c>
      <c r="K4" s="6">
        <f>ROUND(J4-(J4*$K$2),0)</f>
        <v/>
      </c>
      <c r="L4" s="6">
        <f>ROUND(K4,0)</f>
        <v/>
      </c>
      <c r="M4" s="6">
        <f>ROUND(L4+(L4*$M$2),0)</f>
        <v/>
      </c>
      <c r="N4" s="6">
        <f>ROUND(M4+(M4*$N$2),0)</f>
        <v/>
      </c>
      <c r="O4" s="6">
        <f>I4-N4</f>
        <v/>
      </c>
    </row>
    <row r="7">
      <c r="B7" t="inlineStr">
        <is>
          <t>S&amp;MH</t>
        </is>
      </c>
      <c r="C7">
        <f>F4</f>
        <v/>
      </c>
      <c r="D7" t="n">
        <v>0.06567252617025479</v>
      </c>
      <c r="E7">
        <f>C7*D7</f>
        <v/>
      </c>
      <c r="F7">
        <f>C7-E7</f>
        <v/>
      </c>
    </row>
    <row r="8">
      <c r="B8" t="inlineStr">
        <is>
          <t>FEE</t>
        </is>
      </c>
      <c r="C8">
        <f>F7</f>
        <v/>
      </c>
      <c r="D8" t="n">
        <v>0.01244321548489038</v>
      </c>
      <c r="E8">
        <f>C8*D8</f>
        <v/>
      </c>
      <c r="F8">
        <f>C8-E8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2025-11-21T21:10:57Z</dcterms:created>
  <dcterms:modified xmlns:dcterms="http://purl.org/dc/terms/" xmlns:xsi="http://www.w3.org/2001/XMLSchema-instance" xsi:type="dcterms:W3CDTF">2025-11-21T21:10:57Z</dcterms:modified>
</cp:coreProperties>
</file>