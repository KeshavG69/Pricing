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roposal Spreadsheet" sheetId="1" state="visible" r:id="rId1"/>
    <sheet xmlns:r="http://schemas.openxmlformats.org/officeDocument/2006/relationships" name="Subcontractor Fee_MH Rat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10" customWidth="1" min="7" max="7"/>
    <col width="15" customWidth="1" min="8" max="8"/>
    <col width="12" customWidth="1" min="9" max="9"/>
    <col width="10" customWidth="1" min="10" max="10"/>
    <col width="15" customWidth="1" min="11" max="11"/>
    <col width="12" customWidth="1" min="12" max="12"/>
    <col width="10" customWidth="1" min="13" max="13"/>
    <col width="15" customWidth="1" min="14" max="14"/>
    <col width="12" customWidth="1" min="15" max="15"/>
    <col width="10" customWidth="1" min="16" max="16"/>
    <col width="15" customWidth="1" min="17" max="17"/>
    <col width="12" customWidth="1" min="18" max="18"/>
    <col width="10" customWidth="1" min="19" max="19"/>
    <col width="15" customWidth="1" min="20" max="20"/>
    <col width="12" customWidth="1" min="21" max="21"/>
    <col width="10" customWidth="1" min="22" max="22"/>
    <col width="15" customWidth="1" min="23" max="23"/>
  </cols>
  <sheetData>
    <row r="1">
      <c r="A1" s="1" t="inlineStr">
        <is>
          <t>SOLICITATION NO. N0017825R3013</t>
        </is>
      </c>
      <c r="I1" s="2" t="inlineStr">
        <is>
          <t>Escalation</t>
        </is>
      </c>
      <c r="L1" s="2" t="inlineStr">
        <is>
          <t>Escalation</t>
        </is>
      </c>
      <c r="O1" s="2" t="inlineStr">
        <is>
          <t>Escalation</t>
        </is>
      </c>
      <c r="R1" s="2" t="inlineStr">
        <is>
          <t>Escalation</t>
        </is>
      </c>
      <c r="U1" s="2" t="inlineStr">
        <is>
          <t>Escalation</t>
        </is>
      </c>
    </row>
    <row r="2">
      <c r="A2" s="2" t="inlineStr">
        <is>
          <t>COST PROPOSAL SPREADSHEET</t>
        </is>
      </c>
      <c r="I2" s="2" t="n">
        <v>0.0272</v>
      </c>
      <c r="L2" s="2" t="n">
        <v>0.0299</v>
      </c>
      <c r="O2" s="2" t="n">
        <v>0.028</v>
      </c>
      <c r="R2" s="2" t="n">
        <v>0.0285</v>
      </c>
      <c r="U2" s="2" t="n">
        <v>0.029</v>
      </c>
    </row>
    <row r="3"/>
    <row r="4">
      <c r="A4" s="2" t="inlineStr">
        <is>
          <t>Prime Offeror Name: Test Company Inc.</t>
        </is>
      </c>
    </row>
    <row r="5">
      <c r="A5" s="2" t="inlineStr">
        <is>
          <t>Subcontractor Name (if applicable): Astrion Group LLC, Deloitte Consulting LLP</t>
        </is>
      </c>
    </row>
    <row r="6">
      <c r="A6" s="2" t="inlineStr">
        <is>
          <t>DCAA Point of Contact Information: test.contact@dcaa.mil</t>
        </is>
      </c>
    </row>
    <row r="7">
      <c r="D7" s="3" t="inlineStr">
        <is>
          <t>Total for All Years</t>
        </is>
      </c>
      <c r="F7" s="4" t="inlineStr">
        <is>
          <t>Base Period</t>
        </is>
      </c>
      <c r="I7" s="4" t="inlineStr">
        <is>
          <t>Option Year 1</t>
        </is>
      </c>
      <c r="L7" s="4" t="inlineStr">
        <is>
          <t>Option Year 2</t>
        </is>
      </c>
      <c r="O7" s="4" t="inlineStr">
        <is>
          <t>Option Year 3</t>
        </is>
      </c>
      <c r="R7" s="4" t="inlineStr">
        <is>
          <t>Option Year 4</t>
        </is>
      </c>
      <c r="U7" s="4" t="inlineStr">
        <is>
          <t>Option Year 5</t>
        </is>
      </c>
    </row>
    <row r="8">
      <c r="A8" s="5" t="inlineStr">
        <is>
          <t>Cost Elements</t>
        </is>
      </c>
      <c r="B8" s="5" t="inlineStr">
        <is>
          <t>Company Labor Category</t>
        </is>
      </c>
      <c r="C8" s="5" t="inlineStr">
        <is>
          <t>eCRAFT Labor Category</t>
        </is>
      </c>
      <c r="D8" s="5" t="inlineStr">
        <is>
          <t>Hours</t>
        </is>
      </c>
      <c r="E8" s="5" t="inlineStr">
        <is>
          <t>Amount</t>
        </is>
      </c>
      <c r="F8" s="5" t="inlineStr">
        <is>
          <t>Rate</t>
        </is>
      </c>
      <c r="G8" s="5" t="inlineStr">
        <is>
          <t>Hours</t>
        </is>
      </c>
      <c r="H8" s="5" t="inlineStr">
        <is>
          <t>Amount</t>
        </is>
      </c>
      <c r="I8" s="5" t="inlineStr">
        <is>
          <t>Rate</t>
        </is>
      </c>
      <c r="J8" s="5" t="inlineStr">
        <is>
          <t>Hours</t>
        </is>
      </c>
      <c r="K8" s="5" t="inlineStr">
        <is>
          <t>Amount</t>
        </is>
      </c>
      <c r="L8" s="5" t="inlineStr">
        <is>
          <t>Rate</t>
        </is>
      </c>
      <c r="M8" s="5" t="inlineStr">
        <is>
          <t>Hours</t>
        </is>
      </c>
      <c r="N8" s="5" t="inlineStr">
        <is>
          <t>Amount</t>
        </is>
      </c>
      <c r="O8" s="5" t="inlineStr">
        <is>
          <t>Rate</t>
        </is>
      </c>
      <c r="P8" s="5" t="inlineStr">
        <is>
          <t>Hours</t>
        </is>
      </c>
      <c r="Q8" s="5" t="inlineStr">
        <is>
          <t>Amount</t>
        </is>
      </c>
      <c r="R8" s="5" t="inlineStr">
        <is>
          <t>Rate</t>
        </is>
      </c>
      <c r="S8" s="5" t="inlineStr">
        <is>
          <t>Hours</t>
        </is>
      </c>
      <c r="T8" s="5" t="inlineStr">
        <is>
          <t>Amount</t>
        </is>
      </c>
      <c r="U8" s="5" t="inlineStr">
        <is>
          <t>Rate</t>
        </is>
      </c>
      <c r="V8" s="5" t="inlineStr">
        <is>
          <t>Hours</t>
        </is>
      </c>
      <c r="W8" s="5" t="inlineStr">
        <is>
          <t>Amount</t>
        </is>
      </c>
    </row>
    <row r="9">
      <c r="A9" s="2" t="inlineStr">
        <is>
          <t>Prime Contractor Labor Cost</t>
        </is>
      </c>
    </row>
    <row r="10">
      <c r="A10" s="2" t="inlineStr">
        <is>
          <t>Prime Contractor Direct Labor</t>
        </is>
      </c>
    </row>
    <row r="11">
      <c r="A11" t="inlineStr">
        <is>
          <t>TBD</t>
        </is>
      </c>
      <c r="B11" t="inlineStr">
        <is>
          <t>Program Manager</t>
        </is>
      </c>
      <c r="C11" t="inlineStr">
        <is>
          <t>TBD</t>
        </is>
      </c>
      <c r="D11">
        <f>G11+J11+M11+P11+S11+V11</f>
        <v/>
      </c>
      <c r="E11" s="6">
        <f>H11+K11+N11+Q11+T11+W11</f>
        <v/>
      </c>
      <c r="F11" s="6" t="n">
        <v>188.08</v>
      </c>
      <c r="G11" t="n">
        <v>1880</v>
      </c>
      <c r="H11" s="6">
        <f>F11*G11</f>
        <v/>
      </c>
      <c r="I11" s="6" t="n">
        <v>193.2</v>
      </c>
      <c r="J11" t="n">
        <v>1880</v>
      </c>
      <c r="K11" s="6">
        <f>I11*J11</f>
        <v/>
      </c>
      <c r="L11" s="6" t="n">
        <v>198.97</v>
      </c>
      <c r="M11" t="n">
        <v>1880</v>
      </c>
      <c r="N11" s="6">
        <f>L11*M11</f>
        <v/>
      </c>
      <c r="O11" s="6" t="n">
        <v>204.54</v>
      </c>
      <c r="P11" t="n">
        <v>1880</v>
      </c>
      <c r="Q11" s="6">
        <f>O11*P11</f>
        <v/>
      </c>
      <c r="R11" s="6" t="n">
        <v>210.37</v>
      </c>
      <c r="S11" t="n">
        <v>1880</v>
      </c>
      <c r="T11" s="6">
        <f>R11*S11</f>
        <v/>
      </c>
      <c r="U11" s="6" t="n">
        <v>216.47</v>
      </c>
      <c r="V11" t="n">
        <v>1880</v>
      </c>
      <c r="W11" s="6">
        <f>U11*V11</f>
        <v/>
      </c>
    </row>
    <row r="12">
      <c r="A12" t="inlineStr">
        <is>
          <t>TBD</t>
        </is>
      </c>
      <c r="B12" t="inlineStr">
        <is>
          <t>Lead Senior Systems Analyst</t>
        </is>
      </c>
      <c r="C12" t="inlineStr">
        <is>
          <t>TBD</t>
        </is>
      </c>
      <c r="D12">
        <f>G12+J12+M12+P12+S12+V12</f>
        <v/>
      </c>
      <c r="E12" s="6">
        <f>H12+K12+N12+Q12+T12+W12</f>
        <v/>
      </c>
      <c r="F12" s="6" t="n">
        <v>115.12</v>
      </c>
      <c r="G12" t="n">
        <v>1880</v>
      </c>
      <c r="H12" s="6">
        <f>F12*G12</f>
        <v/>
      </c>
      <c r="I12" s="6" t="n">
        <v>118.25</v>
      </c>
      <c r="J12" t="n">
        <v>1880</v>
      </c>
      <c r="K12" s="6">
        <f>I12*J12</f>
        <v/>
      </c>
      <c r="L12" s="6" t="n">
        <v>121.79</v>
      </c>
      <c r="M12" t="n">
        <v>1880</v>
      </c>
      <c r="N12" s="6">
        <f>L12*M12</f>
        <v/>
      </c>
      <c r="O12" s="6" t="n">
        <v>125.2</v>
      </c>
      <c r="P12" t="n">
        <v>1880</v>
      </c>
      <c r="Q12" s="6">
        <f>O12*P12</f>
        <v/>
      </c>
      <c r="R12" s="6" t="n">
        <v>128.77</v>
      </c>
      <c r="S12" t="n">
        <v>1880</v>
      </c>
      <c r="T12" s="6">
        <f>R12*S12</f>
        <v/>
      </c>
      <c r="U12" s="6" t="n">
        <v>132.5</v>
      </c>
      <c r="V12" t="n">
        <v>1880</v>
      </c>
      <c r="W12" s="6">
        <f>U12*V12</f>
        <v/>
      </c>
    </row>
    <row r="13">
      <c r="A13" t="inlineStr">
        <is>
          <t>TBD</t>
        </is>
      </c>
      <c r="B13" t="inlineStr">
        <is>
          <t>Lead Senior Infrastructure Design Engineer</t>
        </is>
      </c>
      <c r="C13" t="inlineStr">
        <is>
          <t>TBD</t>
        </is>
      </c>
      <c r="D13">
        <f>G13+J13+M13+P13+S13+V13</f>
        <v/>
      </c>
      <c r="E13" s="6">
        <f>H13+K13+N13+Q13+T13+W13</f>
        <v/>
      </c>
      <c r="F13" s="6" t="n">
        <v>143.05</v>
      </c>
      <c r="G13" t="n">
        <v>1880</v>
      </c>
      <c r="H13" s="6">
        <f>F13*G13</f>
        <v/>
      </c>
      <c r="I13" s="6" t="n">
        <v>146.94</v>
      </c>
      <c r="J13" t="n">
        <v>1880</v>
      </c>
      <c r="K13" s="6">
        <f>I13*J13</f>
        <v/>
      </c>
      <c r="L13" s="6" t="n">
        <v>151.33</v>
      </c>
      <c r="M13" t="n">
        <v>1880</v>
      </c>
      <c r="N13" s="6">
        <f>L13*M13</f>
        <v/>
      </c>
      <c r="O13" s="6" t="n">
        <v>155.57</v>
      </c>
      <c r="P13" t="n">
        <v>1880</v>
      </c>
      <c r="Q13" s="6">
        <f>O13*P13</f>
        <v/>
      </c>
      <c r="R13" s="6" t="n">
        <v>160.01</v>
      </c>
      <c r="S13" t="n">
        <v>1880</v>
      </c>
      <c r="T13" s="6">
        <f>R13*S13</f>
        <v/>
      </c>
      <c r="U13" s="6" t="n">
        <v>164.65</v>
      </c>
      <c r="V13" t="n">
        <v>1880</v>
      </c>
      <c r="W13" s="6">
        <f>U13*V13</f>
        <v/>
      </c>
    </row>
    <row r="14">
      <c r="A14" t="inlineStr">
        <is>
          <t>TBD</t>
        </is>
      </c>
      <c r="B14" t="inlineStr">
        <is>
          <t>Senior Program Analyst</t>
        </is>
      </c>
      <c r="C14" t="inlineStr">
        <is>
          <t>TBD</t>
        </is>
      </c>
      <c r="D14">
        <f>G14+J14+M14+P14+S14+V14</f>
        <v/>
      </c>
      <c r="E14" s="6">
        <f>H14+K14+N14+Q14+T14+W14</f>
        <v/>
      </c>
      <c r="F14" s="6" t="n">
        <v>115.81</v>
      </c>
      <c r="G14" t="n">
        <v>1880</v>
      </c>
      <c r="H14" s="6">
        <f>F14*G14</f>
        <v/>
      </c>
      <c r="I14" s="6" t="n">
        <v>118.96</v>
      </c>
      <c r="J14" t="n">
        <v>1880</v>
      </c>
      <c r="K14" s="6">
        <f>I14*J14</f>
        <v/>
      </c>
      <c r="L14" s="6" t="n">
        <v>122.52</v>
      </c>
      <c r="M14" t="n">
        <v>1880</v>
      </c>
      <c r="N14" s="6">
        <f>L14*M14</f>
        <v/>
      </c>
      <c r="O14" s="6" t="n">
        <v>125.95</v>
      </c>
      <c r="P14" t="n">
        <v>1880</v>
      </c>
      <c r="Q14" s="6">
        <f>O14*P14</f>
        <v/>
      </c>
      <c r="R14" s="6" t="n">
        <v>129.54</v>
      </c>
      <c r="S14" t="n">
        <v>1880</v>
      </c>
      <c r="T14" s="6">
        <f>R14*S14</f>
        <v/>
      </c>
      <c r="U14" s="6" t="n">
        <v>133.29</v>
      </c>
      <c r="V14" t="n">
        <v>1880</v>
      </c>
      <c r="W14" s="6">
        <f>U14*V14</f>
        <v/>
      </c>
    </row>
    <row r="15">
      <c r="A15" t="inlineStr">
        <is>
          <t>TBD</t>
        </is>
      </c>
      <c r="B15" t="inlineStr">
        <is>
          <t>Lead Senior Systems Engineer (Network)</t>
        </is>
      </c>
      <c r="C15" t="inlineStr">
        <is>
          <t>TBD</t>
        </is>
      </c>
      <c r="D15">
        <f>G15+J15+M15+P15+S15+V15</f>
        <v/>
      </c>
      <c r="E15" s="6">
        <f>H15+K15+N15+Q15+T15+W15</f>
        <v/>
      </c>
      <c r="F15" s="6" t="n">
        <v>143.05</v>
      </c>
      <c r="G15" t="n">
        <v>1880</v>
      </c>
      <c r="H15" s="6">
        <f>F15*G15</f>
        <v/>
      </c>
      <c r="I15" s="6" t="n">
        <v>146.94</v>
      </c>
      <c r="J15" t="n">
        <v>1880</v>
      </c>
      <c r="K15" s="6">
        <f>I15*J15</f>
        <v/>
      </c>
      <c r="L15" s="6" t="n">
        <v>151.33</v>
      </c>
      <c r="M15" t="n">
        <v>1880</v>
      </c>
      <c r="N15" s="6">
        <f>L15*M15</f>
        <v/>
      </c>
      <c r="O15" s="6" t="n">
        <v>155.57</v>
      </c>
      <c r="P15" t="n">
        <v>1880</v>
      </c>
      <c r="Q15" s="6">
        <f>O15*P15</f>
        <v/>
      </c>
      <c r="R15" s="6" t="n">
        <v>160.01</v>
      </c>
      <c r="S15" t="n">
        <v>1880</v>
      </c>
      <c r="T15" s="6">
        <f>R15*S15</f>
        <v/>
      </c>
      <c r="U15" s="6" t="n">
        <v>164.65</v>
      </c>
      <c r="V15" t="n">
        <v>1880</v>
      </c>
      <c r="W15" s="6">
        <f>U15*V15</f>
        <v/>
      </c>
    </row>
    <row r="16">
      <c r="A16" t="inlineStr">
        <is>
          <t>TBD</t>
        </is>
      </c>
      <c r="B16" t="inlineStr">
        <is>
          <t>Lead Senior Systems Administrator (Unix/Linux)</t>
        </is>
      </c>
      <c r="C16" t="inlineStr">
        <is>
          <t>TBD</t>
        </is>
      </c>
      <c r="D16">
        <f>G16+J16+M16+P16+S16+V16</f>
        <v/>
      </c>
      <c r="E16" s="6">
        <f>H16+K16+N16+Q16+T16+W16</f>
        <v/>
      </c>
      <c r="F16" s="6" t="n">
        <v>107.32</v>
      </c>
      <c r="G16" t="n">
        <v>1880</v>
      </c>
      <c r="H16" s="6">
        <f>F16*G16</f>
        <v/>
      </c>
      <c r="I16" s="6" t="n">
        <v>110.24</v>
      </c>
      <c r="J16" t="n">
        <v>1880</v>
      </c>
      <c r="K16" s="6">
        <f>I16*J16</f>
        <v/>
      </c>
      <c r="L16" s="6" t="n">
        <v>113.54</v>
      </c>
      <c r="M16" t="n">
        <v>1880</v>
      </c>
      <c r="N16" s="6">
        <f>L16*M16</f>
        <v/>
      </c>
      <c r="O16" s="6" t="n">
        <v>116.71</v>
      </c>
      <c r="P16" t="n">
        <v>1880</v>
      </c>
      <c r="Q16" s="6">
        <f>O16*P16</f>
        <v/>
      </c>
      <c r="R16" s="6" t="n">
        <v>120.04</v>
      </c>
      <c r="S16" t="n">
        <v>1880</v>
      </c>
      <c r="T16" s="6">
        <f>R16*S16</f>
        <v/>
      </c>
      <c r="U16" s="6" t="n">
        <v>123.52</v>
      </c>
      <c r="V16" t="n">
        <v>1880</v>
      </c>
      <c r="W16" s="6">
        <f>U16*V16</f>
        <v/>
      </c>
    </row>
    <row r="17">
      <c r="A17" t="inlineStr">
        <is>
          <t>TBD</t>
        </is>
      </c>
      <c r="B17" t="inlineStr">
        <is>
          <t>Lead Systems Administrator (Windows)</t>
        </is>
      </c>
      <c r="C17" t="inlineStr">
        <is>
          <t>TBD</t>
        </is>
      </c>
      <c r="D17">
        <f>G17+J17+M17+P17+S17+V17</f>
        <v/>
      </c>
      <c r="E17" s="6">
        <f>H17+K17+N17+Q17+T17+W17</f>
        <v/>
      </c>
      <c r="F17" s="6" t="n">
        <v>107.32</v>
      </c>
      <c r="G17" t="n">
        <v>1880</v>
      </c>
      <c r="H17" s="6">
        <f>F17*G17</f>
        <v/>
      </c>
      <c r="I17" s="6" t="n">
        <v>110.24</v>
      </c>
      <c r="J17" t="n">
        <v>1880</v>
      </c>
      <c r="K17" s="6">
        <f>I17*J17</f>
        <v/>
      </c>
      <c r="L17" s="6" t="n">
        <v>113.54</v>
      </c>
      <c r="M17" t="n">
        <v>1880</v>
      </c>
      <c r="N17" s="6">
        <f>L17*M17</f>
        <v/>
      </c>
      <c r="O17" s="6" t="n">
        <v>116.71</v>
      </c>
      <c r="P17" t="n">
        <v>1880</v>
      </c>
      <c r="Q17" s="6">
        <f>O17*P17</f>
        <v/>
      </c>
      <c r="R17" s="6" t="n">
        <v>120.04</v>
      </c>
      <c r="S17" t="n">
        <v>1880</v>
      </c>
      <c r="T17" s="6">
        <f>R17*S17</f>
        <v/>
      </c>
      <c r="U17" s="6" t="n">
        <v>123.52</v>
      </c>
      <c r="V17" t="n">
        <v>1880</v>
      </c>
      <c r="W17" s="6">
        <f>U17*V17</f>
        <v/>
      </c>
    </row>
    <row r="18">
      <c r="A18" t="inlineStr">
        <is>
          <t>TBD</t>
        </is>
      </c>
      <c r="B18" t="inlineStr">
        <is>
          <t>Lead Systems Engineer (Windows)</t>
        </is>
      </c>
      <c r="C18" t="inlineStr">
        <is>
          <t>TBD</t>
        </is>
      </c>
      <c r="D18">
        <f>G18+J18+M18+P18+S18+V18</f>
        <v/>
      </c>
      <c r="E18" s="6">
        <f>H18+K18+N18+Q18+T18+W18</f>
        <v/>
      </c>
      <c r="F18" s="6" t="n">
        <v>113.42</v>
      </c>
      <c r="G18" t="n">
        <v>1880</v>
      </c>
      <c r="H18" s="6">
        <f>F18*G18</f>
        <v/>
      </c>
      <c r="I18" s="6" t="n">
        <v>116.51</v>
      </c>
      <c r="J18" t="n">
        <v>1880</v>
      </c>
      <c r="K18" s="6">
        <f>I18*J18</f>
        <v/>
      </c>
      <c r="L18" s="6" t="n">
        <v>119.99</v>
      </c>
      <c r="M18" t="n">
        <v>1880</v>
      </c>
      <c r="N18" s="6">
        <f>L18*M18</f>
        <v/>
      </c>
      <c r="O18" s="6" t="n">
        <v>123.35</v>
      </c>
      <c r="P18" t="n">
        <v>1880</v>
      </c>
      <c r="Q18" s="6">
        <f>O18*P18</f>
        <v/>
      </c>
      <c r="R18" s="6" t="n">
        <v>126.86</v>
      </c>
      <c r="S18" t="n">
        <v>1880</v>
      </c>
      <c r="T18" s="6">
        <f>R18*S18</f>
        <v/>
      </c>
      <c r="U18" s="6" t="n">
        <v>130.54</v>
      </c>
      <c r="V18" t="n">
        <v>1880</v>
      </c>
      <c r="W18" s="6">
        <f>U18*V18</f>
        <v/>
      </c>
    </row>
    <row r="19">
      <c r="A19" t="inlineStr">
        <is>
          <t>TBD</t>
        </is>
      </c>
      <c r="B19" t="inlineStr">
        <is>
          <t>Artificial Intelligence (AI)/Machine Learning (ML) Analyst</t>
        </is>
      </c>
      <c r="C19" t="inlineStr">
        <is>
          <t>TBD</t>
        </is>
      </c>
      <c r="D19">
        <f>G19+J19+M19+P19+S19+V19</f>
        <v/>
      </c>
      <c r="E19" s="6">
        <f>H19+K19+N19+Q19+T19+W19</f>
        <v/>
      </c>
      <c r="F19" s="6" t="n">
        <v>97.93000000000001</v>
      </c>
      <c r="G19" t="n">
        <v>1880</v>
      </c>
      <c r="H19" s="6">
        <f>F19*G19</f>
        <v/>
      </c>
      <c r="I19" s="6" t="n">
        <v>100.59</v>
      </c>
      <c r="J19" t="n">
        <v>1880</v>
      </c>
      <c r="K19" s="6">
        <f>I19*J19</f>
        <v/>
      </c>
      <c r="L19" s="6" t="n">
        <v>103.6</v>
      </c>
      <c r="M19" t="n">
        <v>1880</v>
      </c>
      <c r="N19" s="6">
        <f>L19*M19</f>
        <v/>
      </c>
      <c r="O19" s="6" t="n">
        <v>106.5</v>
      </c>
      <c r="P19" t="n">
        <v>1880</v>
      </c>
      <c r="Q19" s="6">
        <f>O19*P19</f>
        <v/>
      </c>
      <c r="R19" s="6" t="n">
        <v>109.54</v>
      </c>
      <c r="S19" t="n">
        <v>3760</v>
      </c>
      <c r="T19" s="6">
        <f>R19*S19</f>
        <v/>
      </c>
      <c r="U19" s="6" t="n">
        <v>112.71</v>
      </c>
      <c r="V19" t="n">
        <v>3760</v>
      </c>
      <c r="W19" s="6">
        <f>U19*V19</f>
        <v/>
      </c>
    </row>
    <row r="20">
      <c r="A20" t="inlineStr">
        <is>
          <t>TBD</t>
        </is>
      </c>
      <c r="B20" t="inlineStr">
        <is>
          <t>Senior Infrastructure Design Engineer</t>
        </is>
      </c>
      <c r="C20" t="inlineStr">
        <is>
          <t>TBD</t>
        </is>
      </c>
      <c r="D20">
        <f>G20+J20+M20+P20+S20+V20</f>
        <v/>
      </c>
      <c r="E20" s="6">
        <f>H20+K20+N20+Q20+T20+W20</f>
        <v/>
      </c>
      <c r="F20" s="6" t="n">
        <v>37.81</v>
      </c>
      <c r="G20" t="n">
        <v>5640</v>
      </c>
      <c r="H20" s="6">
        <f>F20*G20</f>
        <v/>
      </c>
      <c r="I20" s="6" t="n">
        <v>38.84</v>
      </c>
      <c r="J20" t="n">
        <v>5640</v>
      </c>
      <c r="K20" s="6">
        <f>I20*J20</f>
        <v/>
      </c>
      <c r="L20" s="6" t="n">
        <v>40</v>
      </c>
      <c r="M20" t="n">
        <v>5640</v>
      </c>
      <c r="N20" s="6">
        <f>L20*M20</f>
        <v/>
      </c>
      <c r="O20" s="6" t="n">
        <v>41.12</v>
      </c>
      <c r="P20" t="n">
        <v>5640</v>
      </c>
      <c r="Q20" s="6">
        <f>O20*P20</f>
        <v/>
      </c>
      <c r="R20" s="6" t="n">
        <v>42.29</v>
      </c>
      <c r="S20" t="n">
        <v>5640</v>
      </c>
      <c r="T20" s="6">
        <f>R20*S20</f>
        <v/>
      </c>
      <c r="U20" s="6" t="n">
        <v>43.52</v>
      </c>
      <c r="V20" t="n">
        <v>5640</v>
      </c>
      <c r="W20" s="6">
        <f>U20*V20</f>
        <v/>
      </c>
    </row>
    <row r="21">
      <c r="A21" t="inlineStr">
        <is>
          <t>TBD</t>
        </is>
      </c>
      <c r="B21" t="inlineStr">
        <is>
          <t>Senior Systems Administrator (Unix/Linux)</t>
        </is>
      </c>
      <c r="C21" t="inlineStr">
        <is>
          <t>TBD</t>
        </is>
      </c>
      <c r="D21">
        <f>G21+J21+M21+P21+S21+V21</f>
        <v/>
      </c>
      <c r="E21" s="6">
        <f>H21+K21+N21+Q21+T21+W21</f>
        <v/>
      </c>
      <c r="F21" s="6" t="n">
        <v>21.05</v>
      </c>
      <c r="G21" t="n">
        <v>7520</v>
      </c>
      <c r="H21" s="6">
        <f>F21*G21</f>
        <v/>
      </c>
      <c r="I21" s="6" t="n">
        <v>21.62</v>
      </c>
      <c r="J21" t="n">
        <v>7520</v>
      </c>
      <c r="K21" s="6">
        <f>I21*J21</f>
        <v/>
      </c>
      <c r="L21" s="6" t="n">
        <v>22.27</v>
      </c>
      <c r="M21" t="n">
        <v>7520</v>
      </c>
      <c r="N21" s="6">
        <f>L21*M21</f>
        <v/>
      </c>
      <c r="O21" s="6" t="n">
        <v>22.89</v>
      </c>
      <c r="P21" t="n">
        <v>7520</v>
      </c>
      <c r="Q21" s="6">
        <f>O21*P21</f>
        <v/>
      </c>
      <c r="R21" s="6" t="n">
        <v>23.55</v>
      </c>
      <c r="S21" t="n">
        <v>7520</v>
      </c>
      <c r="T21" s="6">
        <f>R21*S21</f>
        <v/>
      </c>
      <c r="U21" s="6" t="n">
        <v>24.23</v>
      </c>
      <c r="V21" t="n">
        <v>7520</v>
      </c>
      <c r="W21" s="6">
        <f>U21*V21</f>
        <v/>
      </c>
    </row>
    <row r="22">
      <c r="A22" t="inlineStr">
        <is>
          <t>TBD</t>
        </is>
      </c>
      <c r="B22" t="inlineStr">
        <is>
          <t>Senior Systems Engineer (Network)</t>
        </is>
      </c>
      <c r="C22" t="inlineStr">
        <is>
          <t>TBD</t>
        </is>
      </c>
      <c r="D22">
        <f>G22+J22+M22+P22+S22+V22</f>
        <v/>
      </c>
      <c r="E22" s="6">
        <f>H22+K22+N22+Q22+T22+W22</f>
        <v/>
      </c>
      <c r="F22" s="6" t="n">
        <v>56.72</v>
      </c>
      <c r="G22" t="n">
        <v>3760</v>
      </c>
      <c r="H22" s="6">
        <f>F22*G22</f>
        <v/>
      </c>
      <c r="I22" s="6" t="n">
        <v>58.26</v>
      </c>
      <c r="J22" t="n">
        <v>3760</v>
      </c>
      <c r="K22" s="6">
        <f>I22*J22</f>
        <v/>
      </c>
      <c r="L22" s="6" t="n">
        <v>60</v>
      </c>
      <c r="M22" t="n">
        <v>3760</v>
      </c>
      <c r="N22" s="6">
        <f>L22*M22</f>
        <v/>
      </c>
      <c r="O22" s="6" t="n">
        <v>61.68</v>
      </c>
      <c r="P22" t="n">
        <v>3760</v>
      </c>
      <c r="Q22" s="6">
        <f>O22*P22</f>
        <v/>
      </c>
      <c r="R22" s="6" t="n">
        <v>63.44</v>
      </c>
      <c r="S22" t="n">
        <v>3760</v>
      </c>
      <c r="T22" s="6">
        <f>R22*S22</f>
        <v/>
      </c>
      <c r="U22" s="6" t="n">
        <v>65.28</v>
      </c>
      <c r="V22" t="n">
        <v>3760</v>
      </c>
      <c r="W22" s="6">
        <f>U22*V22</f>
        <v/>
      </c>
    </row>
    <row r="23">
      <c r="A23" t="inlineStr">
        <is>
          <t>TBD</t>
        </is>
      </c>
      <c r="B23" t="inlineStr">
        <is>
          <t>Senior Systems Analyst</t>
        </is>
      </c>
      <c r="C23" t="inlineStr">
        <is>
          <t>TBD</t>
        </is>
      </c>
      <c r="D23">
        <f>G23+J23+M23+P23+S23+V23</f>
        <v/>
      </c>
      <c r="E23" s="6">
        <f>H23+K23+N23+Q23+T23+W23</f>
        <v/>
      </c>
      <c r="F23" s="6" t="n">
        <v>90.29000000000001</v>
      </c>
      <c r="G23" t="n">
        <v>1880</v>
      </c>
      <c r="H23" s="6">
        <f>F23*G23</f>
        <v/>
      </c>
      <c r="I23" s="6" t="n">
        <v>92.75</v>
      </c>
      <c r="J23" t="n">
        <v>1880</v>
      </c>
      <c r="K23" s="6">
        <f>I23*J23</f>
        <v/>
      </c>
      <c r="L23" s="6" t="n">
        <v>95.52</v>
      </c>
      <c r="M23" t="n">
        <v>3760</v>
      </c>
      <c r="N23" s="6">
        <f>L23*M23</f>
        <v/>
      </c>
      <c r="O23" s="6" t="n">
        <v>98.19</v>
      </c>
      <c r="P23" t="n">
        <v>3760</v>
      </c>
      <c r="Q23" s="6">
        <f>O23*P23</f>
        <v/>
      </c>
      <c r="R23" s="6" t="n">
        <v>100.99</v>
      </c>
      <c r="S23" t="n">
        <v>3760</v>
      </c>
      <c r="T23" s="6">
        <f>R23*S23</f>
        <v/>
      </c>
      <c r="U23" s="6" t="n">
        <v>103.92</v>
      </c>
      <c r="V23" t="n">
        <v>3760</v>
      </c>
      <c r="W23" s="6">
        <f>U23*V23</f>
        <v/>
      </c>
    </row>
    <row r="24">
      <c r="A24" t="inlineStr">
        <is>
          <t>TBD</t>
        </is>
      </c>
      <c r="B24" t="inlineStr">
        <is>
          <t>Systems Administrator (Windows)</t>
        </is>
      </c>
      <c r="C24" t="inlineStr">
        <is>
          <t>TBD</t>
        </is>
      </c>
      <c r="D24">
        <f>G24+J24+M24+P24+S24+V24</f>
        <v/>
      </c>
      <c r="E24" s="6">
        <f>H24+K24+N24+Q24+T24+W24</f>
        <v/>
      </c>
      <c r="F24" s="6" t="n">
        <v>3</v>
      </c>
      <c r="G24" t="n">
        <v>52640</v>
      </c>
      <c r="H24" s="6">
        <f>F24*G24</f>
        <v/>
      </c>
      <c r="I24" s="6" t="n">
        <v>3.08</v>
      </c>
      <c r="J24" t="n">
        <v>56400</v>
      </c>
      <c r="K24" s="6">
        <f>I24*J24</f>
        <v/>
      </c>
      <c r="L24" s="6" t="n">
        <v>3.17</v>
      </c>
      <c r="M24" t="n">
        <v>56400</v>
      </c>
      <c r="N24" s="6">
        <f>L24*M24</f>
        <v/>
      </c>
      <c r="O24" s="6" t="n">
        <v>3.26</v>
      </c>
      <c r="P24" t="n">
        <v>56400</v>
      </c>
      <c r="Q24" s="6">
        <f>O24*P24</f>
        <v/>
      </c>
      <c r="R24" s="6" t="n">
        <v>3.36</v>
      </c>
      <c r="S24" t="n">
        <v>56400</v>
      </c>
      <c r="T24" s="6">
        <f>R24*S24</f>
        <v/>
      </c>
      <c r="U24" s="6" t="n">
        <v>3.45</v>
      </c>
      <c r="V24" t="n">
        <v>56400</v>
      </c>
      <c r="W24" s="6">
        <f>U24*V24</f>
        <v/>
      </c>
    </row>
    <row r="25">
      <c r="A25" t="inlineStr">
        <is>
          <t>TBD</t>
        </is>
      </c>
      <c r="B25" t="inlineStr">
        <is>
          <t>Systems Engineer (Windows)</t>
        </is>
      </c>
      <c r="C25" t="inlineStr">
        <is>
          <t>TBD</t>
        </is>
      </c>
      <c r="D25">
        <f>G25+J25+M25+P25+S25+V25</f>
        <v/>
      </c>
      <c r="E25" s="6">
        <f>H25+K25+N25+Q25+T25+W25</f>
        <v/>
      </c>
      <c r="F25" s="6" t="n">
        <v>12.03</v>
      </c>
      <c r="G25" t="n">
        <v>13160</v>
      </c>
      <c r="H25" s="6">
        <f>F25*G25</f>
        <v/>
      </c>
      <c r="I25" s="6" t="n">
        <v>12.36</v>
      </c>
      <c r="J25" t="n">
        <v>3760</v>
      </c>
      <c r="K25" s="6">
        <f>I25*J25</f>
        <v/>
      </c>
      <c r="L25" s="6" t="n">
        <v>12.73</v>
      </c>
      <c r="M25" t="n">
        <v>3760</v>
      </c>
      <c r="N25" s="6">
        <f>L25*M25</f>
        <v/>
      </c>
      <c r="O25" s="6" t="n">
        <v>13.08</v>
      </c>
      <c r="P25" t="n">
        <v>3760</v>
      </c>
      <c r="Q25" s="6">
        <f>O25*P25</f>
        <v/>
      </c>
      <c r="R25" s="6" t="n">
        <v>13.46</v>
      </c>
      <c r="S25" t="n">
        <v>3760</v>
      </c>
      <c r="T25" s="6">
        <f>R25*S25</f>
        <v/>
      </c>
      <c r="U25" s="6" t="n">
        <v>13.85</v>
      </c>
      <c r="V25" t="n">
        <v>3760</v>
      </c>
      <c r="W25" s="6">
        <f>U25*V25</f>
        <v/>
      </c>
    </row>
    <row r="26">
      <c r="A26" t="inlineStr">
        <is>
          <t>TBD</t>
        </is>
      </c>
      <c r="B26" t="inlineStr">
        <is>
          <t>Enterprise Engineer/Architect</t>
        </is>
      </c>
      <c r="C26" t="inlineStr">
        <is>
          <t>TBD</t>
        </is>
      </c>
      <c r="D26">
        <f>G26+J26+M26+P26+S26+V26</f>
        <v/>
      </c>
      <c r="E26" s="6">
        <f>H26+K26+N26+Q26+T26+W26</f>
        <v/>
      </c>
      <c r="F26" s="6" t="n">
        <v>113.42</v>
      </c>
      <c r="G26" t="n">
        <v>0</v>
      </c>
      <c r="H26" s="6">
        <f>F26*G26</f>
        <v/>
      </c>
      <c r="I26" s="6" t="n">
        <v>116.51</v>
      </c>
      <c r="J26" t="n">
        <v>1880</v>
      </c>
      <c r="K26" s="6">
        <f>I26*J26</f>
        <v/>
      </c>
      <c r="L26" s="6" t="n">
        <v>119.99</v>
      </c>
      <c r="M26" t="n">
        <v>1880</v>
      </c>
      <c r="N26" s="6">
        <f>L26*M26</f>
        <v/>
      </c>
      <c r="O26" s="6" t="n">
        <v>123.35</v>
      </c>
      <c r="P26" t="n">
        <v>1880</v>
      </c>
      <c r="Q26" s="6">
        <f>O26*P26</f>
        <v/>
      </c>
      <c r="R26" s="6" t="n">
        <v>126.86</v>
      </c>
      <c r="S26" t="n">
        <v>3760</v>
      </c>
      <c r="T26" s="6">
        <f>R26*S26</f>
        <v/>
      </c>
      <c r="U26" s="6" t="n">
        <v>130.54</v>
      </c>
      <c r="V26" t="n">
        <v>3760</v>
      </c>
      <c r="W26" s="6">
        <f>U26*V26</f>
        <v/>
      </c>
    </row>
    <row r="27">
      <c r="A27" t="inlineStr">
        <is>
          <t>TBD</t>
        </is>
      </c>
      <c r="B27" t="inlineStr">
        <is>
          <t>Physical Infrastructure Specialist</t>
        </is>
      </c>
      <c r="C27" t="inlineStr">
        <is>
          <t>TBD</t>
        </is>
      </c>
      <c r="D27">
        <f>G27+J27+M27+P27+S27+V27</f>
        <v/>
      </c>
      <c r="E27" s="6">
        <f>H27+K27+N27+Q27+T27+W27</f>
        <v/>
      </c>
      <c r="F27" s="6" t="n">
        <v>2.45</v>
      </c>
      <c r="G27" t="n">
        <v>33840</v>
      </c>
      <c r="H27" s="6">
        <f>F27*G27</f>
        <v/>
      </c>
      <c r="I27" s="6" t="n">
        <v>2.52</v>
      </c>
      <c r="J27" t="n">
        <v>33840</v>
      </c>
      <c r="K27" s="6">
        <f>I27*J27</f>
        <v/>
      </c>
      <c r="L27" s="6" t="n">
        <v>2.59</v>
      </c>
      <c r="M27" t="n">
        <v>33840</v>
      </c>
      <c r="N27" s="6">
        <f>L27*M27</f>
        <v/>
      </c>
      <c r="O27" s="6" t="n">
        <v>2.66</v>
      </c>
      <c r="P27" t="n">
        <v>33840</v>
      </c>
      <c r="Q27" s="6">
        <f>O27*P27</f>
        <v/>
      </c>
      <c r="R27" s="6" t="n">
        <v>2.74</v>
      </c>
      <c r="S27" t="n">
        <v>33840</v>
      </c>
      <c r="T27" s="6">
        <f>R27*S27</f>
        <v/>
      </c>
      <c r="U27" s="6" t="n">
        <v>2.82</v>
      </c>
      <c r="V27" t="n">
        <v>33840</v>
      </c>
      <c r="W27" s="6">
        <f>U27*V27</f>
        <v/>
      </c>
    </row>
    <row r="28">
      <c r="A28" t="inlineStr">
        <is>
          <t>TBD</t>
        </is>
      </c>
      <c r="B28" t="inlineStr">
        <is>
          <t>Protected Distributed Systems Inspector</t>
        </is>
      </c>
      <c r="C28" t="inlineStr">
        <is>
          <t>TBD</t>
        </is>
      </c>
      <c r="D28">
        <f>G28+J28+M28+P28+S28+V28</f>
        <v/>
      </c>
      <c r="E28" s="6">
        <f>H28+K28+N28+Q28+T28+W28</f>
        <v/>
      </c>
      <c r="F28" s="6" t="n">
        <v>25.94</v>
      </c>
      <c r="G28" t="n">
        <v>3760</v>
      </c>
      <c r="H28" s="6">
        <f>F28*G28</f>
        <v/>
      </c>
      <c r="I28" s="6" t="n">
        <v>26.65</v>
      </c>
      <c r="J28" t="n">
        <v>3760</v>
      </c>
      <c r="K28" s="6">
        <f>I28*J28</f>
        <v/>
      </c>
      <c r="L28" s="6" t="n">
        <v>27.44</v>
      </c>
      <c r="M28" t="n">
        <v>3760</v>
      </c>
      <c r="N28" s="6">
        <f>L28*M28</f>
        <v/>
      </c>
      <c r="O28" s="6" t="n">
        <v>28.21</v>
      </c>
      <c r="P28" t="n">
        <v>3760</v>
      </c>
      <c r="Q28" s="6">
        <f>O28*P28</f>
        <v/>
      </c>
      <c r="R28" s="6" t="n">
        <v>29.01</v>
      </c>
      <c r="S28" t="n">
        <v>3760</v>
      </c>
      <c r="T28" s="6">
        <f>R28*S28</f>
        <v/>
      </c>
      <c r="U28" s="6" t="n">
        <v>29.86</v>
      </c>
      <c r="V28" t="n">
        <v>3760</v>
      </c>
      <c r="W28" s="6">
        <f>U28*V28</f>
        <v/>
      </c>
    </row>
    <row r="29">
      <c r="A29" t="inlineStr">
        <is>
          <t>TBD</t>
        </is>
      </c>
      <c r="B29" t="inlineStr">
        <is>
          <t>Program Analyst</t>
        </is>
      </c>
      <c r="C29" t="inlineStr">
        <is>
          <t>TBD</t>
        </is>
      </c>
      <c r="D29">
        <f>G29+J29+M29+P29+S29+V29</f>
        <v/>
      </c>
      <c r="E29" s="6">
        <f>H29+K29+N29+Q29+T29+W29</f>
        <v/>
      </c>
      <c r="F29" s="6" t="n">
        <v>33.39</v>
      </c>
      <c r="G29" t="n">
        <v>3760</v>
      </c>
      <c r="H29" s="6">
        <f>F29*G29</f>
        <v/>
      </c>
      <c r="I29" s="6" t="n">
        <v>34.3</v>
      </c>
      <c r="J29" t="n">
        <v>3760</v>
      </c>
      <c r="K29" s="6">
        <f>I29*J29</f>
        <v/>
      </c>
      <c r="L29" s="6" t="n">
        <v>35.32</v>
      </c>
      <c r="M29" t="n">
        <v>3760</v>
      </c>
      <c r="N29" s="6">
        <f>L29*M29</f>
        <v/>
      </c>
      <c r="O29" s="6" t="n">
        <v>36.31</v>
      </c>
      <c r="P29" t="n">
        <v>3760</v>
      </c>
      <c r="Q29" s="6">
        <f>O29*P29</f>
        <v/>
      </c>
      <c r="R29" s="6" t="n">
        <v>37.35</v>
      </c>
      <c r="S29" t="n">
        <v>3760</v>
      </c>
      <c r="T29" s="6">
        <f>R29*S29</f>
        <v/>
      </c>
      <c r="U29" s="6" t="n">
        <v>38.43</v>
      </c>
      <c r="V29" t="n">
        <v>3760</v>
      </c>
      <c r="W29" s="6">
        <f>U29*V29</f>
        <v/>
      </c>
    </row>
    <row r="30">
      <c r="A30" t="inlineStr">
        <is>
          <t>TBD</t>
        </is>
      </c>
      <c r="B30" t="inlineStr">
        <is>
          <t>Systems Administrator (Unix/Linux)</t>
        </is>
      </c>
      <c r="C30" t="inlineStr">
        <is>
          <t>TBD</t>
        </is>
      </c>
      <c r="D30">
        <f>G30+J30+M30+P30+S30+V30</f>
        <v/>
      </c>
      <c r="E30" s="6">
        <f>H30+K30+N30+Q30+T30+W30</f>
        <v/>
      </c>
      <c r="F30" s="6" t="n">
        <v>5.61</v>
      </c>
      <c r="G30" t="n">
        <v>28200</v>
      </c>
      <c r="H30" s="6">
        <f>F30*G30</f>
        <v/>
      </c>
      <c r="I30" s="6" t="n">
        <v>5.76</v>
      </c>
      <c r="J30" t="n">
        <v>28200</v>
      </c>
      <c r="K30" s="6">
        <f>I30*J30</f>
        <v/>
      </c>
      <c r="L30" s="6" t="n">
        <v>5.93</v>
      </c>
      <c r="M30" t="n">
        <v>31960</v>
      </c>
      <c r="N30" s="6">
        <f>L30*M30</f>
        <v/>
      </c>
      <c r="O30" s="6" t="n">
        <v>6.1</v>
      </c>
      <c r="P30" t="n">
        <v>31960</v>
      </c>
      <c r="Q30" s="6">
        <f>O30*P30</f>
        <v/>
      </c>
      <c r="R30" s="6" t="n">
        <v>6.27</v>
      </c>
      <c r="S30" t="n">
        <v>31960</v>
      </c>
      <c r="T30" s="6">
        <f>R30*S30</f>
        <v/>
      </c>
      <c r="U30" s="6" t="n">
        <v>6.46</v>
      </c>
      <c r="V30" t="n">
        <v>31960</v>
      </c>
      <c r="W30" s="6">
        <f>U30*V30</f>
        <v/>
      </c>
    </row>
    <row r="31">
      <c r="A31" t="inlineStr">
        <is>
          <t>TBD</t>
        </is>
      </c>
      <c r="B31" t="inlineStr">
        <is>
          <t>Systems Engineer (Network)</t>
        </is>
      </c>
      <c r="C31" t="inlineStr">
        <is>
          <t>TBD</t>
        </is>
      </c>
      <c r="D31">
        <f>G31+J31+M31+P31+S31+V31</f>
        <v/>
      </c>
      <c r="E31" s="6">
        <f>H31+K31+N31+Q31+T31+W31</f>
        <v/>
      </c>
      <c r="F31" s="6" t="n">
        <v>9.449999999999999</v>
      </c>
      <c r="G31" t="n">
        <v>22560</v>
      </c>
      <c r="H31" s="6">
        <f>F31*G31</f>
        <v/>
      </c>
      <c r="I31" s="6" t="n">
        <v>9.710000000000001</v>
      </c>
      <c r="J31" t="n">
        <v>22560</v>
      </c>
      <c r="K31" s="6">
        <f>I31*J31</f>
        <v/>
      </c>
      <c r="L31" s="6" t="n">
        <v>10</v>
      </c>
      <c r="M31" t="n">
        <v>22560</v>
      </c>
      <c r="N31" s="6">
        <f>L31*M31</f>
        <v/>
      </c>
      <c r="O31" s="6" t="n">
        <v>10.28</v>
      </c>
      <c r="P31" t="n">
        <v>22560</v>
      </c>
      <c r="Q31" s="6">
        <f>O31*P31</f>
        <v/>
      </c>
      <c r="R31" s="6" t="n">
        <v>10.57</v>
      </c>
      <c r="S31" t="n">
        <v>22560</v>
      </c>
      <c r="T31" s="6">
        <f>R31*S31</f>
        <v/>
      </c>
      <c r="U31" s="6" t="n">
        <v>10.88</v>
      </c>
      <c r="V31" t="n">
        <v>22560</v>
      </c>
      <c r="W31" s="6">
        <f>U31*V31</f>
        <v/>
      </c>
    </row>
    <row r="32">
      <c r="A32" t="inlineStr">
        <is>
          <t>TBD</t>
        </is>
      </c>
      <c r="B32" t="inlineStr">
        <is>
          <t>Systems Programmer (e.g., Splunk, Dashboarding)</t>
        </is>
      </c>
      <c r="C32" t="inlineStr">
        <is>
          <t>TBD</t>
        </is>
      </c>
      <c r="D32">
        <f>G32+J32+M32+P32+S32+V32</f>
        <v/>
      </c>
      <c r="E32" s="6">
        <f>H32+K32+N32+Q32+T32+W32</f>
        <v/>
      </c>
      <c r="F32" s="6" t="n">
        <v>91</v>
      </c>
      <c r="G32" t="n">
        <v>1880</v>
      </c>
      <c r="H32" s="6">
        <f>F32*G32</f>
        <v/>
      </c>
      <c r="I32" s="6" t="n">
        <v>93.48</v>
      </c>
      <c r="J32" t="n">
        <v>1880</v>
      </c>
      <c r="K32" s="6">
        <f>I32*J32</f>
        <v/>
      </c>
      <c r="L32" s="6" t="n">
        <v>96.27</v>
      </c>
      <c r="M32" t="n">
        <v>1880</v>
      </c>
      <c r="N32" s="6">
        <f>L32*M32</f>
        <v/>
      </c>
      <c r="O32" s="6" t="n">
        <v>98.97</v>
      </c>
      <c r="P32" t="n">
        <v>1880</v>
      </c>
      <c r="Q32" s="6">
        <f>O32*P32</f>
        <v/>
      </c>
      <c r="R32" s="6" t="n">
        <v>101.79</v>
      </c>
      <c r="S32" t="n">
        <v>1880</v>
      </c>
      <c r="T32" s="6">
        <f>R32*S32</f>
        <v/>
      </c>
      <c r="U32" s="6" t="n">
        <v>104.74</v>
      </c>
      <c r="V32" t="n">
        <v>1880</v>
      </c>
      <c r="W32" s="6">
        <f>U32*V32</f>
        <v/>
      </c>
    </row>
    <row r="33">
      <c r="A33" t="inlineStr">
        <is>
          <t>TBD</t>
        </is>
      </c>
      <c r="B33" t="inlineStr">
        <is>
          <t>Logistics Analyst</t>
        </is>
      </c>
      <c r="C33" t="inlineStr">
        <is>
          <t>TBD</t>
        </is>
      </c>
      <c r="D33">
        <f>G33+J33+M33+P33+S33+V33</f>
        <v/>
      </c>
      <c r="E33" s="6">
        <f>H33+K33+N33+Q33+T33+W33</f>
        <v/>
      </c>
      <c r="F33" s="6" t="n">
        <v>23.45</v>
      </c>
      <c r="G33" t="n">
        <v>5640</v>
      </c>
      <c r="H33" s="6">
        <f>F33*G33</f>
        <v/>
      </c>
      <c r="I33" s="6" t="n">
        <v>24.09</v>
      </c>
      <c r="J33" t="n">
        <v>5640</v>
      </c>
      <c r="K33" s="6">
        <f>I33*J33</f>
        <v/>
      </c>
      <c r="L33" s="6" t="n">
        <v>24.81</v>
      </c>
      <c r="M33" t="n">
        <v>5640</v>
      </c>
      <c r="N33" s="6">
        <f>L33*M33</f>
        <v/>
      </c>
      <c r="O33" s="6" t="n">
        <v>25.5</v>
      </c>
      <c r="P33" t="n">
        <v>5640</v>
      </c>
      <c r="Q33" s="6">
        <f>O33*P33</f>
        <v/>
      </c>
      <c r="R33" s="6" t="n">
        <v>26.23</v>
      </c>
      <c r="S33" t="n">
        <v>5640</v>
      </c>
      <c r="T33" s="6">
        <f>R33*S33</f>
        <v/>
      </c>
      <c r="U33" s="6" t="n">
        <v>26.99</v>
      </c>
      <c r="V33" t="n">
        <v>5640</v>
      </c>
      <c r="W33" s="6">
        <f>U33*V33</f>
        <v/>
      </c>
    </row>
    <row r="34">
      <c r="A34" t="inlineStr">
        <is>
          <t>Total Direct Labor</t>
        </is>
      </c>
      <c r="E34" s="6">
        <f>SUM(E11:E33)</f>
        <v/>
      </c>
      <c r="F34" s="6" t="n"/>
      <c r="H34" s="6" t="n"/>
      <c r="I34" s="6" t="n"/>
      <c r="K34" s="6" t="n"/>
      <c r="L34" s="6" t="n"/>
      <c r="N34" s="6" t="n"/>
      <c r="O34" s="6" t="n"/>
      <c r="Q34" s="6" t="n"/>
      <c r="R34" s="6" t="n"/>
      <c r="T34" s="6" t="n"/>
      <c r="U34" s="6" t="n"/>
      <c r="W34" s="6" t="n"/>
    </row>
    <row r="35">
      <c r="A35" t="inlineStr">
        <is>
          <t>Overhead</t>
        </is>
      </c>
      <c r="E35" s="6" t="n"/>
      <c r="F35" s="6" t="n"/>
      <c r="H35" s="6" t="n"/>
      <c r="I35" s="6" t="n"/>
      <c r="K35" s="6" t="n"/>
      <c r="L35" s="6" t="n"/>
      <c r="N35" s="6" t="n"/>
      <c r="O35" s="6" t="n"/>
      <c r="Q35" s="6" t="n"/>
      <c r="R35" s="6" t="n"/>
      <c r="T35" s="6" t="n"/>
      <c r="U35" s="6" t="n"/>
      <c r="W35" s="6" t="n"/>
    </row>
    <row r="36">
      <c r="A36" t="inlineStr">
        <is>
          <t>Fringe</t>
        </is>
      </c>
      <c r="E36" s="6" t="n"/>
      <c r="F36" s="6" t="n"/>
      <c r="H36" s="6" t="n"/>
      <c r="I36" s="6" t="n"/>
      <c r="K36" s="6" t="n"/>
      <c r="L36" s="6" t="n"/>
      <c r="N36" s="6" t="n"/>
      <c r="O36" s="6" t="n"/>
      <c r="Q36" s="6" t="n"/>
      <c r="R36" s="6" t="n"/>
      <c r="T36" s="6" t="n"/>
      <c r="U36" s="6" t="n"/>
      <c r="W36" s="6" t="n"/>
    </row>
    <row r="37">
      <c r="A37" t="inlineStr">
        <is>
          <t>G&amp;A</t>
        </is>
      </c>
      <c r="E37" s="6" t="n"/>
      <c r="F37" s="6" t="n"/>
      <c r="H37" s="6" t="n"/>
      <c r="I37" s="6" t="n"/>
      <c r="K37" s="6" t="n"/>
      <c r="L37" s="6" t="n"/>
      <c r="N37" s="6" t="n"/>
      <c r="O37" s="6" t="n"/>
      <c r="Q37" s="6" t="n"/>
      <c r="R37" s="6" t="n"/>
      <c r="T37" s="6" t="n"/>
      <c r="U37" s="6" t="n"/>
      <c r="W37" s="6" t="n"/>
    </row>
    <row r="38">
      <c r="E38" s="6" t="n"/>
      <c r="F38" s="6" t="n"/>
      <c r="H38" s="6" t="n"/>
      <c r="I38" s="6" t="n"/>
      <c r="K38" s="6" t="n"/>
      <c r="L38" s="6" t="n"/>
      <c r="N38" s="6" t="n"/>
      <c r="O38" s="6" t="n"/>
      <c r="Q38" s="6" t="n"/>
      <c r="R38" s="6" t="n"/>
      <c r="T38" s="6" t="n"/>
      <c r="U38" s="6" t="n"/>
      <c r="W38" s="6" t="n"/>
    </row>
    <row r="39">
      <c r="A39" t="inlineStr">
        <is>
          <t>Subcontractor Labor Cost</t>
        </is>
      </c>
      <c r="E39" s="6" t="n"/>
      <c r="F39" s="6" t="n"/>
      <c r="H39" s="6" t="n"/>
      <c r="I39" s="6" t="n"/>
      <c r="K39" s="6" t="n"/>
      <c r="L39" s="6" t="n"/>
      <c r="N39" s="6" t="n"/>
      <c r="O39" s="6" t="n"/>
      <c r="Q39" s="6" t="n"/>
      <c r="R39" s="6" t="n"/>
      <c r="T39" s="6" t="n"/>
      <c r="U39" s="6" t="n"/>
      <c r="W39" s="6" t="n"/>
    </row>
    <row r="40">
      <c r="A40" t="inlineStr">
        <is>
          <t>Subcontractor proposed cost and fee</t>
        </is>
      </c>
      <c r="E40" s="6" t="n"/>
      <c r="F40" s="6" t="n"/>
      <c r="H40" s="6" t="n"/>
      <c r="I40" s="6" t="n"/>
      <c r="K40" s="6" t="n"/>
      <c r="L40" s="6" t="n"/>
      <c r="N40" s="6" t="n"/>
      <c r="O40" s="6" t="n"/>
      <c r="Q40" s="6" t="n"/>
      <c r="R40" s="6" t="n"/>
      <c r="T40" s="6" t="n"/>
      <c r="U40" s="6" t="n"/>
      <c r="W40" s="6" t="n"/>
    </row>
    <row r="41">
      <c r="A41" t="inlineStr">
        <is>
          <t>Subcontractor 1 (Astrion Group LLC)</t>
        </is>
      </c>
      <c r="E41" s="6" t="n"/>
      <c r="F41" s="6" t="n"/>
      <c r="H41" s="6" t="n"/>
      <c r="I41" s="6" t="n"/>
      <c r="K41" s="6" t="n"/>
      <c r="L41" s="6" t="n"/>
      <c r="N41" s="6" t="n"/>
      <c r="O41" s="6" t="n"/>
      <c r="Q41" s="6" t="n"/>
      <c r="R41" s="6" t="n"/>
      <c r="T41" s="6" t="n"/>
      <c r="U41" s="6" t="n"/>
      <c r="W41" s="6" t="n"/>
    </row>
    <row r="42">
      <c r="A42" t="inlineStr"/>
      <c r="B42" t="inlineStr">
        <is>
          <t>Systems Administrator (Windows)</t>
        </is>
      </c>
      <c r="C42" t="inlineStr">
        <is>
          <t>SYSTEMS ADMINISTRATOR II</t>
        </is>
      </c>
      <c r="D42">
        <f>G42+J42+M42+P42+S42+V42</f>
        <v/>
      </c>
      <c r="E42" s="6">
        <f>H42+K42+N42+Q42+T42+W42</f>
        <v/>
      </c>
      <c r="F42" s="6" t="n">
        <v>107.33</v>
      </c>
      <c r="G42" t="n">
        <v>1880</v>
      </c>
      <c r="H42" s="6">
        <f>F42*G42</f>
        <v/>
      </c>
      <c r="I42" s="6" t="n">
        <v>110.25</v>
      </c>
      <c r="J42" t="n">
        <v>1880</v>
      </c>
      <c r="K42" s="6">
        <f>I42*J42</f>
        <v/>
      </c>
      <c r="L42" s="6" t="n">
        <v>113.54</v>
      </c>
      <c r="M42" t="n">
        <v>1880</v>
      </c>
      <c r="N42" s="6">
        <f>L42*M42</f>
        <v/>
      </c>
      <c r="O42" s="6" t="n">
        <v>116.72</v>
      </c>
      <c r="P42" t="n">
        <v>1880</v>
      </c>
      <c r="Q42" s="6">
        <f>O42*P42</f>
        <v/>
      </c>
      <c r="R42" s="6" t="n">
        <v>120.05</v>
      </c>
      <c r="S42" t="n">
        <v>1880</v>
      </c>
      <c r="T42" s="6">
        <f>R42*S42</f>
        <v/>
      </c>
      <c r="U42" s="6" t="n">
        <v>123.53</v>
      </c>
      <c r="V42" t="n">
        <v>1880</v>
      </c>
      <c r="W42" s="6">
        <f>U42*V42</f>
        <v/>
      </c>
    </row>
    <row r="43">
      <c r="A43" t="inlineStr"/>
      <c r="B43" t="inlineStr">
        <is>
          <t>Electrical Engineer</t>
        </is>
      </c>
      <c r="C43" t="inlineStr">
        <is>
          <t>ENGINEER, ELECTRICAL/ELECTRONICS II</t>
        </is>
      </c>
      <c r="D43">
        <f>G43+J43+M43+P43+S43+V43</f>
        <v/>
      </c>
      <c r="E43" s="6">
        <f>H43+K43+N43+Q43+T43+W43</f>
        <v/>
      </c>
      <c r="F43" s="6" t="n">
        <v>77.61</v>
      </c>
      <c r="G43" t="n">
        <v>1880</v>
      </c>
      <c r="H43" s="6">
        <f>F43*G43</f>
        <v/>
      </c>
      <c r="I43" s="6" t="n">
        <v>79.72</v>
      </c>
      <c r="J43" t="n">
        <v>1880</v>
      </c>
      <c r="K43" s="6">
        <f>I43*J43</f>
        <v/>
      </c>
      <c r="L43" s="6" t="n">
        <v>82.09999999999999</v>
      </c>
      <c r="M43" t="n">
        <v>1880</v>
      </c>
      <c r="N43" s="6">
        <f>L43*M43</f>
        <v/>
      </c>
      <c r="O43" s="6" t="n">
        <v>84.40000000000001</v>
      </c>
      <c r="P43" t="n">
        <v>1880</v>
      </c>
      <c r="Q43" s="6">
        <f>O43*P43</f>
        <v/>
      </c>
      <c r="R43" s="6" t="n">
        <v>86.81</v>
      </c>
      <c r="S43" t="n">
        <v>1880</v>
      </c>
      <c r="T43" s="6">
        <f>R43*S43</f>
        <v/>
      </c>
      <c r="U43" s="6" t="n">
        <v>89.33</v>
      </c>
      <c r="V43" t="n">
        <v>1880</v>
      </c>
      <c r="W43" s="6">
        <f>U43*V43</f>
        <v/>
      </c>
    </row>
    <row r="44">
      <c r="E44" s="6" t="n"/>
      <c r="F44" s="6" t="n"/>
      <c r="H44" s="6" t="n"/>
      <c r="I44" s="6" t="n"/>
      <c r="K44" s="6" t="n"/>
      <c r="L44" s="6" t="n"/>
      <c r="N44" s="6" t="n"/>
      <c r="O44" s="6" t="n"/>
      <c r="Q44" s="6" t="n"/>
      <c r="R44" s="6" t="n"/>
      <c r="T44" s="6" t="n"/>
      <c r="U44" s="6" t="n"/>
      <c r="W44" s="6" t="n"/>
    </row>
    <row r="45">
      <c r="A45" t="inlineStr">
        <is>
          <t>Subcontractor 2 (Deloitte Consulting LLP)</t>
        </is>
      </c>
      <c r="E45" s="6" t="n"/>
      <c r="F45" s="6" t="n"/>
      <c r="H45" s="6" t="n"/>
      <c r="I45" s="6" t="n"/>
      <c r="K45" s="6" t="n"/>
      <c r="L45" s="6" t="n"/>
      <c r="N45" s="6" t="n"/>
      <c r="O45" s="6" t="n"/>
      <c r="Q45" s="6" t="n"/>
      <c r="R45" s="6" t="n"/>
      <c r="T45" s="6" t="n"/>
      <c r="U45" s="6" t="n"/>
      <c r="W45" s="6" t="n"/>
    </row>
    <row r="46">
      <c r="A46" t="inlineStr"/>
      <c r="B46" t="inlineStr">
        <is>
          <t>Program Analyst</t>
        </is>
      </c>
      <c r="C46" t="inlineStr">
        <is>
          <t>ANALYST, FINANCIAL SYSTEMS</t>
        </is>
      </c>
      <c r="D46">
        <f>G46+J46+M46+P46+S46+V46</f>
        <v/>
      </c>
      <c r="E46" s="6">
        <f>H46+K46+N46+Q46+T46+W46</f>
        <v/>
      </c>
      <c r="F46" s="6" t="n">
        <v>95.5</v>
      </c>
      <c r="G46" t="n">
        <v>3760</v>
      </c>
      <c r="H46" s="6">
        <f>F46*G46</f>
        <v/>
      </c>
      <c r="I46" s="6" t="n">
        <v>98.09999999999999</v>
      </c>
      <c r="J46" t="n">
        <v>3760</v>
      </c>
      <c r="K46" s="6">
        <f>I46*J46</f>
        <v/>
      </c>
      <c r="L46" s="6" t="n">
        <v>101.03</v>
      </c>
      <c r="M46" t="n">
        <v>3760</v>
      </c>
      <c r="N46" s="6">
        <f>L46*M46</f>
        <v/>
      </c>
      <c r="O46" s="6" t="n">
        <v>103.86</v>
      </c>
      <c r="P46" t="n">
        <v>3760</v>
      </c>
      <c r="Q46" s="6">
        <f>O46*P46</f>
        <v/>
      </c>
      <c r="R46" s="6" t="n">
        <v>106.82</v>
      </c>
      <c r="S46" t="n">
        <v>3760</v>
      </c>
      <c r="T46" s="6">
        <f>R46*S46</f>
        <v/>
      </c>
      <c r="U46" s="6" t="n">
        <v>109.92</v>
      </c>
      <c r="V46" t="n">
        <v>3760</v>
      </c>
      <c r="W46" s="6">
        <f>U46*V46</f>
        <v/>
      </c>
    </row>
    <row r="47">
      <c r="E47" s="6" t="n"/>
      <c r="F47" s="6" t="n"/>
      <c r="H47" s="6" t="n"/>
      <c r="I47" s="6" t="n"/>
      <c r="K47" s="6" t="n"/>
      <c r="L47" s="6" t="n"/>
      <c r="N47" s="6" t="n"/>
      <c r="O47" s="6" t="n"/>
      <c r="Q47" s="6" t="n"/>
      <c r="R47" s="6" t="n"/>
      <c r="T47" s="6" t="n"/>
      <c r="U47" s="6" t="n"/>
      <c r="W47" s="6" t="n"/>
    </row>
    <row r="48">
      <c r="A48" t="inlineStr">
        <is>
          <t>Total proposed subcontractor labor cost and fee</t>
        </is>
      </c>
      <c r="E48" s="6">
        <f>SUM(E41:E47)</f>
        <v/>
      </c>
      <c r="F48" s="6" t="n"/>
      <c r="H48" s="6" t="n"/>
      <c r="I48" s="6" t="n"/>
      <c r="K48" s="6" t="n"/>
      <c r="L48" s="6" t="n"/>
      <c r="N48" s="6" t="n"/>
      <c r="O48" s="6" t="n"/>
      <c r="Q48" s="6" t="n"/>
      <c r="R48" s="6" t="n"/>
      <c r="T48" s="6" t="n"/>
      <c r="U48" s="6" t="n"/>
      <c r="W48" s="6" t="n"/>
    </row>
    <row r="49">
      <c r="E49" s="6" t="n"/>
      <c r="F49" s="6" t="n"/>
      <c r="H49" s="6" t="n"/>
      <c r="I49" s="6" t="n"/>
      <c r="K49" s="6" t="n"/>
      <c r="L49" s="6" t="n"/>
      <c r="N49" s="6" t="n"/>
      <c r="O49" s="6" t="n"/>
      <c r="Q49" s="6" t="n"/>
      <c r="R49" s="6" t="n"/>
      <c r="T49" s="6" t="n"/>
      <c r="U49" s="6" t="n"/>
      <c r="W49" s="6" t="n"/>
    </row>
    <row r="50">
      <c r="A50" t="inlineStr">
        <is>
          <t>Prime contractor pass through (not including fee)</t>
        </is>
      </c>
      <c r="E50" s="6" t="n"/>
      <c r="F50" s="6" t="n"/>
      <c r="H50" s="6" t="n"/>
      <c r="I50" s="6" t="n"/>
      <c r="K50" s="6" t="n"/>
      <c r="L50" s="6" t="n"/>
      <c r="N50" s="6" t="n"/>
      <c r="O50" s="6" t="n"/>
      <c r="Q50" s="6" t="n"/>
      <c r="R50" s="6" t="n"/>
      <c r="T50" s="6" t="n"/>
      <c r="U50" s="6" t="n"/>
      <c r="W50" s="6" t="n"/>
    </row>
    <row r="51">
      <c r="A51" t="inlineStr">
        <is>
          <t>Handling</t>
        </is>
      </c>
      <c r="E51" s="6">
        <f>H51+K51+N51+Q51+T51+W51</f>
        <v/>
      </c>
      <c r="F51" s="6" t="n">
        <v>0.0665</v>
      </c>
      <c r="H51" s="6">
        <f>H48*0.0665</f>
        <v/>
      </c>
      <c r="I51" s="6" t="n"/>
      <c r="K51" s="6">
        <f>K48*0.0665</f>
        <v/>
      </c>
      <c r="L51" s="6" t="n"/>
      <c r="N51" s="6">
        <f>N48*0.0665</f>
        <v/>
      </c>
      <c r="O51" s="6" t="n"/>
      <c r="Q51" s="6">
        <f>Q48*0.0665</f>
        <v/>
      </c>
      <c r="R51" s="6" t="n"/>
      <c r="T51" s="6">
        <f>T48*0.0665</f>
        <v/>
      </c>
      <c r="U51" s="6" t="n"/>
      <c r="W51" s="6">
        <f>W48*0.0665</f>
        <v/>
      </c>
    </row>
    <row r="52">
      <c r="A52" t="inlineStr">
        <is>
          <t>Other (if any)</t>
        </is>
      </c>
      <c r="E52" s="6" t="n"/>
      <c r="F52" s="6" t="n"/>
      <c r="H52" s="6" t="n"/>
      <c r="I52" s="6" t="n"/>
      <c r="K52" s="6" t="n"/>
      <c r="L52" s="6" t="n"/>
      <c r="N52" s="6" t="n"/>
      <c r="O52" s="6" t="n"/>
      <c r="Q52" s="6" t="n"/>
      <c r="R52" s="6" t="n"/>
      <c r="T52" s="6" t="n"/>
      <c r="U52" s="6" t="n"/>
      <c r="W52" s="6" t="n"/>
    </row>
    <row r="53">
      <c r="A53" t="inlineStr">
        <is>
          <t>Total pass through (not including fee)</t>
        </is>
      </c>
      <c r="E53" s="6" t="n"/>
      <c r="F53" s="6" t="n"/>
      <c r="H53" s="6" t="n"/>
      <c r="I53" s="6" t="n"/>
      <c r="K53" s="6" t="n"/>
      <c r="L53" s="6" t="n"/>
      <c r="N53" s="6" t="n"/>
      <c r="O53" s="6" t="n"/>
      <c r="Q53" s="6" t="n"/>
      <c r="R53" s="6" t="n"/>
      <c r="T53" s="6" t="n"/>
      <c r="U53" s="6" t="n"/>
      <c r="W53" s="6" t="n"/>
    </row>
    <row r="54">
      <c r="A54" t="inlineStr">
        <is>
          <t>Total Subcontractor Cost including pass through</t>
        </is>
      </c>
      <c r="E54" s="6" t="n"/>
      <c r="F54" s="6" t="n"/>
      <c r="H54" s="6" t="n"/>
      <c r="I54" s="6" t="n"/>
      <c r="K54" s="6" t="n"/>
      <c r="L54" s="6" t="n"/>
      <c r="N54" s="6" t="n"/>
      <c r="O54" s="6" t="n"/>
      <c r="Q54" s="6" t="n"/>
      <c r="R54" s="6" t="n"/>
      <c r="T54" s="6" t="n"/>
      <c r="U54" s="6" t="n"/>
      <c r="W54" s="6" t="n"/>
    </row>
    <row r="55">
      <c r="E55" s="6" t="n"/>
      <c r="F55" s="6" t="n"/>
      <c r="H55" s="6" t="n"/>
      <c r="I55" s="6" t="n"/>
      <c r="K55" s="6" t="n"/>
      <c r="L55" s="6" t="n"/>
      <c r="N55" s="6" t="n"/>
      <c r="O55" s="6" t="n"/>
      <c r="Q55" s="6" t="n"/>
      <c r="R55" s="6" t="n"/>
      <c r="T55" s="6" t="n"/>
      <c r="U55" s="6" t="n"/>
      <c r="W55" s="6" t="n"/>
    </row>
    <row r="56">
      <c r="A56" t="inlineStr">
        <is>
          <t>Total Labor Cost (Prime and Subcontractor Labor)</t>
        </is>
      </c>
      <c r="E56" s="6" t="n"/>
      <c r="F56" s="6" t="n"/>
      <c r="H56" s="6" t="n"/>
      <c r="I56" s="6" t="n"/>
      <c r="K56" s="6" t="n"/>
      <c r="L56" s="6" t="n"/>
      <c r="N56" s="6" t="n"/>
      <c r="O56" s="6" t="n"/>
      <c r="Q56" s="6" t="n"/>
      <c r="R56" s="6" t="n"/>
      <c r="T56" s="6" t="n"/>
      <c r="U56" s="6" t="n"/>
      <c r="W56" s="6" t="n"/>
    </row>
    <row r="57">
      <c r="E57" s="6" t="n"/>
      <c r="F57" s="6" t="n"/>
      <c r="H57" s="6" t="n"/>
      <c r="I57" s="6" t="n"/>
      <c r="K57" s="6" t="n"/>
      <c r="L57" s="6" t="n"/>
      <c r="N57" s="6" t="n"/>
      <c r="O57" s="6" t="n"/>
      <c r="Q57" s="6" t="n"/>
      <c r="R57" s="6" t="n"/>
      <c r="T57" s="6" t="n"/>
      <c r="U57" s="6" t="n"/>
      <c r="W57" s="6" t="n"/>
    </row>
    <row r="58">
      <c r="A58" t="inlineStr">
        <is>
          <t>Fixed Fee</t>
        </is>
      </c>
      <c r="E58" s="6" t="n"/>
      <c r="F58" s="6" t="n"/>
      <c r="H58" s="6" t="n"/>
      <c r="I58" s="6" t="n"/>
      <c r="K58" s="6" t="n"/>
      <c r="L58" s="6" t="n"/>
      <c r="N58" s="6" t="n"/>
      <c r="O58" s="6" t="n"/>
      <c r="Q58" s="6" t="n"/>
      <c r="R58" s="6" t="n"/>
      <c r="T58" s="6" t="n"/>
      <c r="U58" s="6" t="n"/>
      <c r="W58" s="6" t="n"/>
    </row>
    <row r="59">
      <c r="A59" t="inlineStr">
        <is>
          <t>Prime Contractor Fee for Prime Contractor Labor</t>
        </is>
      </c>
      <c r="E59" s="6" t="n"/>
      <c r="F59" s="6" t="n">
        <v>0.08</v>
      </c>
      <c r="H59" s="6" t="n"/>
      <c r="I59" s="6" t="n"/>
      <c r="K59" s="6" t="n"/>
      <c r="L59" s="6" t="n"/>
      <c r="N59" s="6" t="n"/>
      <c r="O59" s="6" t="n"/>
      <c r="Q59" s="6" t="n"/>
      <c r="R59" s="6" t="n"/>
      <c r="T59" s="6" t="n"/>
      <c r="U59" s="6" t="n"/>
      <c r="W59" s="6" t="n"/>
    </row>
    <row r="60">
      <c r="A60" t="inlineStr">
        <is>
          <t>Prime Contractor Fee for Subcontractor Labor *</t>
        </is>
      </c>
      <c r="E60" s="6" t="n"/>
      <c r="F60" s="6" t="n">
        <v>0.0126</v>
      </c>
      <c r="H60" s="6" t="n"/>
      <c r="I60" s="6" t="n"/>
      <c r="K60" s="6" t="n"/>
      <c r="L60" s="6" t="n"/>
      <c r="N60" s="6" t="n"/>
      <c r="O60" s="6" t="n"/>
      <c r="Q60" s="6" t="n"/>
      <c r="R60" s="6" t="n"/>
      <c r="T60" s="6" t="n"/>
      <c r="U60" s="6" t="n"/>
      <c r="W60" s="6" t="n"/>
    </row>
    <row r="61">
      <c r="A61" t="inlineStr">
        <is>
          <t>Total Fee (for Prime and Subcontractor Labor)</t>
        </is>
      </c>
      <c r="E61" s="6" t="n"/>
      <c r="F61" s="6" t="n"/>
      <c r="H61" s="6" t="n"/>
      <c r="I61" s="6" t="n"/>
      <c r="K61" s="6" t="n"/>
      <c r="L61" s="6" t="n"/>
      <c r="N61" s="6" t="n"/>
      <c r="O61" s="6" t="n"/>
      <c r="Q61" s="6" t="n"/>
      <c r="R61" s="6" t="n"/>
      <c r="T61" s="6" t="n"/>
      <c r="U61" s="6" t="n"/>
      <c r="W61" s="6" t="n"/>
    </row>
    <row r="62">
      <c r="E62" s="6" t="n"/>
      <c r="F62" s="6" t="n"/>
      <c r="H62" s="6" t="n"/>
      <c r="I62" s="6" t="n"/>
      <c r="K62" s="6" t="n"/>
      <c r="L62" s="6" t="n"/>
      <c r="N62" s="6" t="n"/>
      <c r="O62" s="6" t="n"/>
      <c r="Q62" s="6" t="n"/>
      <c r="R62" s="6" t="n"/>
      <c r="T62" s="6" t="n"/>
      <c r="U62" s="6" t="n"/>
      <c r="W62" s="6" t="n"/>
    </row>
    <row r="63">
      <c r="A63" t="inlineStr">
        <is>
          <t>Total Labor Cost Plus Fixed Fee (CPFF)</t>
        </is>
      </c>
      <c r="E63" s="6" t="n"/>
      <c r="F63" s="6" t="n"/>
      <c r="H63" s="6" t="n"/>
      <c r="I63" s="6" t="n"/>
      <c r="K63" s="6" t="n"/>
      <c r="L63" s="6" t="n"/>
      <c r="N63" s="6" t="n"/>
      <c r="O63" s="6" t="n"/>
      <c r="Q63" s="6" t="n"/>
      <c r="R63" s="6" t="n"/>
      <c r="T63" s="6" t="n"/>
      <c r="U63" s="6" t="n"/>
      <c r="W63" s="6" t="n"/>
    </row>
    <row r="64">
      <c r="E64" s="6" t="n"/>
      <c r="F64" s="6" t="n"/>
      <c r="H64" s="6" t="n"/>
      <c r="I64" s="6" t="n"/>
      <c r="K64" s="6" t="n"/>
      <c r="L64" s="6" t="n"/>
      <c r="N64" s="6" t="n"/>
      <c r="O64" s="6" t="n"/>
      <c r="Q64" s="6" t="n"/>
      <c r="R64" s="6" t="n"/>
      <c r="T64" s="6" t="n"/>
      <c r="U64" s="6" t="n"/>
      <c r="W64" s="6" t="n"/>
    </row>
    <row r="65">
      <c r="A65" t="inlineStr">
        <is>
          <t>Other Direct Costs</t>
        </is>
      </c>
      <c r="E65" s="6" t="n"/>
      <c r="F65" s="6" t="n"/>
      <c r="H65" s="6" t="n"/>
      <c r="I65" s="6" t="n"/>
      <c r="K65" s="6" t="n"/>
      <c r="L65" s="6" t="n"/>
      <c r="N65" s="6" t="n"/>
      <c r="O65" s="6" t="n"/>
      <c r="Q65" s="6" t="n"/>
      <c r="R65" s="6" t="n"/>
      <c r="T65" s="6" t="n"/>
      <c r="U65" s="6" t="n"/>
      <c r="W65" s="6" t="n"/>
    </row>
    <row r="66">
      <c r="A66" t="inlineStr">
        <is>
          <t>Travel</t>
        </is>
      </c>
      <c r="E66" s="6">
        <f>H66+K66+N66+Q66+T66+W66</f>
        <v/>
      </c>
      <c r="F66" s="6" t="n"/>
      <c r="H66" s="6" t="n">
        <v>6106</v>
      </c>
      <c r="I66" s="6" t="n"/>
      <c r="K66" s="6" t="n">
        <v>6106</v>
      </c>
      <c r="L66" s="6" t="n"/>
      <c r="N66" s="6" t="n">
        <v>6106</v>
      </c>
      <c r="O66" s="6" t="n"/>
      <c r="Q66" s="6" t="n">
        <v>6106</v>
      </c>
      <c r="R66" s="6" t="n"/>
      <c r="T66" s="6" t="n">
        <v>6106</v>
      </c>
      <c r="U66" s="6" t="n"/>
      <c r="W66" s="6" t="n">
        <v>6106</v>
      </c>
    </row>
    <row r="67">
      <c r="A67" t="inlineStr">
        <is>
          <t>Equipment</t>
        </is>
      </c>
      <c r="E67" s="6">
        <f>H67+K67+N67+Q67+T67+W67</f>
        <v/>
      </c>
      <c r="F67" s="6" t="n"/>
      <c r="H67" s="6" t="n">
        <v>12212</v>
      </c>
      <c r="I67" s="6" t="n"/>
      <c r="K67" s="6" t="n">
        <v>12544.17</v>
      </c>
      <c r="L67" s="6" t="n"/>
      <c r="N67" s="6" t="n">
        <v>12919.23</v>
      </c>
      <c r="O67" s="6" t="n"/>
      <c r="Q67" s="6" t="n">
        <v>13280.98</v>
      </c>
      <c r="R67" s="6" t="n"/>
      <c r="T67" s="6" t="n">
        <v>13659.49</v>
      </c>
      <c r="U67" s="6" t="n"/>
      <c r="W67" s="6" t="n">
        <v>14055.61</v>
      </c>
    </row>
    <row r="68">
      <c r="A68" t="inlineStr">
        <is>
          <t>Software Licenses</t>
        </is>
      </c>
      <c r="E68" s="6">
        <f>H68+K68+N68+Q68+T68+W68</f>
        <v/>
      </c>
      <c r="F68" s="6" t="n"/>
      <c r="H68" s="6" t="n">
        <v>18318</v>
      </c>
      <c r="I68" s="6" t="n"/>
      <c r="K68" s="6" t="n">
        <v>18816.25</v>
      </c>
      <c r="L68" s="6" t="n"/>
      <c r="N68" s="6" t="n">
        <v>19378.86</v>
      </c>
      <c r="O68" s="6" t="n"/>
      <c r="Q68" s="6" t="n">
        <v>19921.46</v>
      </c>
      <c r="R68" s="6" t="n"/>
      <c r="T68" s="6" t="n">
        <v>20489.22</v>
      </c>
      <c r="U68" s="6" t="n"/>
      <c r="W68" s="6" t="n">
        <v>21083.41</v>
      </c>
    </row>
    <row r="69">
      <c r="A69" t="inlineStr">
        <is>
          <t>Total Other Direct Costs</t>
        </is>
      </c>
      <c r="E69" s="6">
        <f>SUM(E66:E68)</f>
        <v/>
      </c>
      <c r="F69" s="6" t="n"/>
      <c r="H69" s="6" t="n"/>
      <c r="I69" s="6" t="n"/>
      <c r="K69" s="6" t="n"/>
      <c r="L69" s="6" t="n"/>
      <c r="N69" s="6" t="n"/>
      <c r="O69" s="6" t="n"/>
      <c r="Q69" s="6" t="n"/>
      <c r="R69" s="6" t="n"/>
      <c r="T69" s="6" t="n"/>
      <c r="U69" s="6" t="n"/>
      <c r="W69" s="6" t="n"/>
    </row>
    <row r="70">
      <c r="E70" s="6" t="n"/>
      <c r="F70" s="6" t="n"/>
      <c r="H70" s="6" t="n"/>
      <c r="I70" s="6" t="n"/>
      <c r="K70" s="6" t="n"/>
      <c r="L70" s="6" t="n"/>
      <c r="N70" s="6" t="n"/>
      <c r="O70" s="6" t="n"/>
      <c r="Q70" s="6" t="n"/>
      <c r="R70" s="6" t="n"/>
      <c r="T70" s="6" t="n"/>
      <c r="U70" s="6" t="n"/>
      <c r="W70" s="6" t="n"/>
    </row>
    <row r="71">
      <c r="A71" t="inlineStr">
        <is>
          <t>GRAND TOTAL (Labor + Fee + ODCs)</t>
        </is>
      </c>
      <c r="E71" s="6" t="n"/>
      <c r="F71" s="6" t="n"/>
      <c r="H71" s="6" t="n"/>
      <c r="I71" s="6" t="n"/>
      <c r="K71" s="6" t="n"/>
      <c r="L71" s="6" t="n"/>
      <c r="N71" s="6" t="n"/>
      <c r="O71" s="6" t="n"/>
      <c r="Q71" s="6" t="n"/>
      <c r="R71" s="6" t="n"/>
      <c r="T71" s="6" t="n"/>
      <c r="U71" s="6" t="n"/>
      <c r="W7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3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C2" s="2" t="inlineStr">
        <is>
          <t>Nexagen FBLR</t>
        </is>
      </c>
      <c r="J2">
        <f>D8</f>
        <v/>
      </c>
      <c r="K2">
        <f>D7</f>
        <v/>
      </c>
      <c r="M2">
        <f>D4</f>
        <v/>
      </c>
      <c r="N2">
        <f>D3</f>
        <v/>
      </c>
    </row>
    <row r="3">
      <c r="B3" s="7" t="inlineStr">
        <is>
          <t>FEE</t>
        </is>
      </c>
      <c r="C3" s="6" t="n">
        <v>140</v>
      </c>
      <c r="D3" s="8" t="n">
        <v>0.0126</v>
      </c>
      <c r="E3" s="6">
        <f>C3*D3</f>
        <v/>
      </c>
      <c r="F3" s="6">
        <f>C3+E3</f>
        <v/>
      </c>
      <c r="H3" s="4" t="inlineStr">
        <is>
          <t>Labor Category</t>
        </is>
      </c>
      <c r="I3" s="4" t="inlineStr">
        <is>
          <t>Nexagen FBLR</t>
        </is>
      </c>
      <c r="J3" s="4" t="inlineStr">
        <is>
          <t>FEE</t>
        </is>
      </c>
      <c r="K3" s="4" t="inlineStr">
        <is>
          <t>S&amp;MH</t>
        </is>
      </c>
      <c r="L3" s="4" t="inlineStr">
        <is>
          <t>Target Rate</t>
        </is>
      </c>
      <c r="M3" s="4" t="inlineStr">
        <is>
          <t>S&amp;MH</t>
        </is>
      </c>
      <c r="N3" s="4" t="inlineStr">
        <is>
          <t>FEE</t>
        </is>
      </c>
      <c r="O3" s="4" t="inlineStr">
        <is>
          <t>Diff Check</t>
        </is>
      </c>
    </row>
    <row r="4">
      <c r="B4" s="7" t="inlineStr">
        <is>
          <t>S&amp;MH</t>
        </is>
      </c>
      <c r="C4" s="6">
        <f>F3</f>
        <v/>
      </c>
      <c r="D4" s="8" t="n">
        <v>0.0665</v>
      </c>
      <c r="E4" s="6">
        <f>C4*D4</f>
        <v/>
      </c>
      <c r="F4" s="6">
        <f>C4+E4</f>
        <v/>
      </c>
      <c r="H4" t="inlineStr">
        <is>
          <t>Systems Administrator (Windows)</t>
        </is>
      </c>
      <c r="I4" s="6" t="n">
        <v>107.33</v>
      </c>
      <c r="J4" s="6">
        <f>ROUND(I4-(I4*$J$2),0)</f>
        <v/>
      </c>
      <c r="K4" s="6">
        <f>ROUND(J4-(J4*$K$2),0)</f>
        <v/>
      </c>
      <c r="L4" s="6">
        <f>ROUND(K4,0)</f>
        <v/>
      </c>
      <c r="M4" s="6">
        <f>ROUND(L4+(L4*$M$2),0)</f>
        <v/>
      </c>
      <c r="N4" s="6">
        <f>ROUND(M4+(M4*$N$2),0)</f>
        <v/>
      </c>
      <c r="O4" s="6">
        <f>I4-N4</f>
        <v/>
      </c>
    </row>
    <row r="5">
      <c r="H5" t="inlineStr">
        <is>
          <t>Electrical Engineer</t>
        </is>
      </c>
      <c r="I5" s="6" t="n">
        <v>77.61</v>
      </c>
      <c r="J5" s="6">
        <f>ROUND(I5-(I5*$J$2),0)</f>
        <v/>
      </c>
      <c r="K5" s="6">
        <f>ROUND(J5-(J5*$K$2),0)</f>
        <v/>
      </c>
      <c r="L5" s="6">
        <f>ROUND(K5,0)</f>
        <v/>
      </c>
      <c r="M5" s="6">
        <f>ROUND(L5+(L5*$M$2),0)</f>
        <v/>
      </c>
      <c r="N5" s="6">
        <f>ROUND(M5+(M5*$N$2),0)</f>
        <v/>
      </c>
      <c r="O5" s="6">
        <f>I5-N5</f>
        <v/>
      </c>
    </row>
    <row r="6">
      <c r="H6" t="inlineStr">
        <is>
          <t>Program Analyst</t>
        </is>
      </c>
      <c r="I6" s="6" t="n">
        <v>95.5</v>
      </c>
      <c r="J6" s="6">
        <f>ROUND(I6-(I6*$J$2),0)</f>
        <v/>
      </c>
      <c r="K6" s="6">
        <f>ROUND(J6-(J6*$K$2),0)</f>
        <v/>
      </c>
      <c r="L6" s="6">
        <f>ROUND(K6,0)</f>
        <v/>
      </c>
      <c r="M6" s="6">
        <f>ROUND(L6+(L6*$M$2),0)</f>
        <v/>
      </c>
      <c r="N6" s="6">
        <f>ROUND(M6+(M6*$N$2),0)</f>
        <v/>
      </c>
      <c r="O6" s="6">
        <f>I6-N6</f>
        <v/>
      </c>
    </row>
    <row r="7">
      <c r="B7" t="inlineStr">
        <is>
          <t>S&amp;MH</t>
        </is>
      </c>
      <c r="C7">
        <f>F4</f>
        <v/>
      </c>
      <c r="D7" t="n">
        <v>0.06567252617025479</v>
      </c>
      <c r="E7">
        <f>C7*D7</f>
        <v/>
      </c>
      <c r="F7">
        <f>C7-E7</f>
        <v/>
      </c>
    </row>
    <row r="8">
      <c r="B8" t="inlineStr">
        <is>
          <t>FEE</t>
        </is>
      </c>
      <c r="C8">
        <f>F7</f>
        <v/>
      </c>
      <c r="D8" t="n">
        <v>0.01244321548489038</v>
      </c>
      <c r="E8">
        <f>C8*D8</f>
        <v/>
      </c>
      <c r="F8">
        <f>C8-E8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2025-11-21T21:41:14Z</dcterms:created>
  <dcterms:modified xmlns:dcterms="http://purl.org/dc/terms/" xmlns:xsi="http://www.w3.org/2001/XMLSchema-instance" xsi:type="dcterms:W3CDTF">2025-11-21T21:41:14Z</dcterms:modified>
</cp:coreProperties>
</file>