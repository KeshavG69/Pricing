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Proposal Spreadsheet" sheetId="1" state="visible" r:id="rId1"/>
    <sheet xmlns:r="http://schemas.openxmlformats.org/officeDocument/2006/relationships" name="Subcontractor Fee_MH Rate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b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4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30" customWidth="1" min="2" max="2"/>
    <col width="25" customWidth="1" min="3" max="3"/>
    <col width="12" customWidth="1" min="4" max="4"/>
    <col width="15" customWidth="1" min="5" max="5"/>
    <col width="12" customWidth="1" min="6" max="6"/>
    <col width="10" customWidth="1" min="7" max="7"/>
    <col width="15" customWidth="1" min="8" max="8"/>
    <col width="12" customWidth="1" min="9" max="9"/>
    <col width="10" customWidth="1" min="10" max="10"/>
    <col width="15" customWidth="1" min="11" max="11"/>
    <col width="12" customWidth="1" min="12" max="12"/>
    <col width="10" customWidth="1" min="13" max="13"/>
    <col width="15" customWidth="1" min="14" max="14"/>
  </cols>
  <sheetData>
    <row r="1">
      <c r="A1" s="1" t="inlineStr">
        <is>
          <t>SOLICITATION NO. TEST001</t>
        </is>
      </c>
      <c r="I1" s="2" t="inlineStr">
        <is>
          <t>Escalation</t>
        </is>
      </c>
      <c r="L1" s="2" t="inlineStr">
        <is>
          <t>Escalation</t>
        </is>
      </c>
    </row>
    <row r="2">
      <c r="A2" s="2" t="inlineStr">
        <is>
          <t>COST PROPOSAL SPREADSHEET</t>
        </is>
      </c>
      <c r="I2" s="2" t="n">
        <v>0.0272</v>
      </c>
      <c r="L2" s="2" t="n">
        <v>0.0299</v>
      </c>
    </row>
    <row r="3"/>
    <row r="4">
      <c r="A4" s="2" t="inlineStr">
        <is>
          <t>Prime Offeror Name: Test Company Inc.</t>
        </is>
      </c>
    </row>
    <row r="5">
      <c r="A5" s="2" t="inlineStr">
        <is>
          <t xml:space="preserve">Subcontractor Name (if applicable): </t>
        </is>
      </c>
    </row>
    <row r="6">
      <c r="A6" s="2" t="inlineStr">
        <is>
          <t>DCAA Point of Contact Information: test@example.com</t>
        </is>
      </c>
    </row>
    <row r="7">
      <c r="D7" s="3" t="inlineStr">
        <is>
          <t>Total for All Years</t>
        </is>
      </c>
      <c r="F7" s="4" t="inlineStr">
        <is>
          <t>Base Period</t>
        </is>
      </c>
      <c r="I7" s="4" t="inlineStr">
        <is>
          <t>Option Year 1</t>
        </is>
      </c>
      <c r="L7" s="4" t="inlineStr">
        <is>
          <t>Option Year 2</t>
        </is>
      </c>
    </row>
    <row r="8">
      <c r="A8" s="5" t="inlineStr">
        <is>
          <t>Cost Elements</t>
        </is>
      </c>
      <c r="B8" s="5" t="inlineStr">
        <is>
          <t>Company Labor Category</t>
        </is>
      </c>
      <c r="C8" s="5" t="inlineStr">
        <is>
          <t>eCRAFT Labor Category</t>
        </is>
      </c>
      <c r="D8" s="5" t="inlineStr">
        <is>
          <t>Hours</t>
        </is>
      </c>
      <c r="E8" s="5" t="inlineStr">
        <is>
          <t>Amount</t>
        </is>
      </c>
      <c r="F8" s="5" t="inlineStr">
        <is>
          <t>Rate</t>
        </is>
      </c>
      <c r="G8" s="5" t="inlineStr">
        <is>
          <t>Hours</t>
        </is>
      </c>
      <c r="H8" s="5" t="inlineStr">
        <is>
          <t>Amount</t>
        </is>
      </c>
      <c r="I8" s="5" t="inlineStr">
        <is>
          <t>Rate</t>
        </is>
      </c>
      <c r="J8" s="5" t="inlineStr">
        <is>
          <t>Hours</t>
        </is>
      </c>
      <c r="K8" s="5" t="inlineStr">
        <is>
          <t>Amount</t>
        </is>
      </c>
      <c r="L8" s="5" t="inlineStr">
        <is>
          <t>Rate</t>
        </is>
      </c>
      <c r="M8" s="5" t="inlineStr">
        <is>
          <t>Hours</t>
        </is>
      </c>
      <c r="N8" s="5" t="inlineStr">
        <is>
          <t>Amount</t>
        </is>
      </c>
    </row>
    <row r="9">
      <c r="A9" s="2" t="inlineStr">
        <is>
          <t>Prime Contractor Labor Cost</t>
        </is>
      </c>
    </row>
    <row r="10">
      <c r="A10" s="2" t="inlineStr">
        <is>
          <t>Prime Contractor Direct Labor</t>
        </is>
      </c>
    </row>
    <row r="11">
      <c r="A11" t="inlineStr">
        <is>
          <t>TBD</t>
        </is>
      </c>
      <c r="B11" t="inlineStr">
        <is>
          <t>Program Manager</t>
        </is>
      </c>
      <c r="C11" t="inlineStr">
        <is>
          <t>TBD</t>
        </is>
      </c>
      <c r="D11">
        <f>G11+J11+M11</f>
        <v/>
      </c>
      <c r="E11" s="6">
        <f>H11+K11+N11</f>
        <v/>
      </c>
      <c r="F11" s="6" t="n">
        <v>188.08</v>
      </c>
      <c r="G11" t="n">
        <v>1880</v>
      </c>
      <c r="H11" s="6">
        <f>F11*G11</f>
        <v/>
      </c>
      <c r="I11" s="6" t="n">
        <v>193.2</v>
      </c>
      <c r="J11" t="n">
        <v>1880</v>
      </c>
      <c r="K11" s="6">
        <f>I11*J11</f>
        <v/>
      </c>
      <c r="L11" s="6" t="n">
        <v>198.97</v>
      </c>
      <c r="M11" t="n">
        <v>1880</v>
      </c>
      <c r="N11" s="6">
        <f>L11*M11</f>
        <v/>
      </c>
    </row>
    <row r="12">
      <c r="A12" t="inlineStr">
        <is>
          <t>TBD</t>
        </is>
      </c>
      <c r="B12" t="inlineStr">
        <is>
          <t>Systems Analyst</t>
        </is>
      </c>
      <c r="C12" t="inlineStr">
        <is>
          <t>TBD</t>
        </is>
      </c>
      <c r="D12">
        <f>G12+J12+M12</f>
        <v/>
      </c>
      <c r="E12" s="6">
        <f>H12+K12+N12</f>
        <v/>
      </c>
      <c r="F12" s="6" t="n">
        <v>115.12</v>
      </c>
      <c r="G12" t="n">
        <v>1880</v>
      </c>
      <c r="H12" s="6">
        <f>F12*G12</f>
        <v/>
      </c>
      <c r="I12" s="6" t="n">
        <v>118.25</v>
      </c>
      <c r="J12" t="n">
        <v>1880</v>
      </c>
      <c r="K12" s="6">
        <f>I12*J12</f>
        <v/>
      </c>
      <c r="L12" s="6" t="n">
        <v>121.79</v>
      </c>
      <c r="M12" t="n">
        <v>1880</v>
      </c>
      <c r="N12" s="6">
        <f>L12*M12</f>
        <v/>
      </c>
    </row>
    <row r="13">
      <c r="A13" t="inlineStr">
        <is>
          <t>Total Direct Labor</t>
        </is>
      </c>
      <c r="E13" s="6">
        <f>SUM(E11:E12)</f>
        <v/>
      </c>
      <c r="F13" s="6" t="n"/>
      <c r="H13" s="6" t="n"/>
      <c r="I13" s="6" t="n"/>
      <c r="K13" s="6" t="n"/>
      <c r="L13" s="6" t="n"/>
      <c r="N13" s="6" t="n"/>
    </row>
    <row r="14">
      <c r="A14" t="inlineStr">
        <is>
          <t>Overhead</t>
        </is>
      </c>
      <c r="E14" s="6" t="n"/>
      <c r="F14" s="6" t="n"/>
      <c r="H14" s="6" t="n"/>
      <c r="I14" s="6" t="n"/>
      <c r="K14" s="6" t="n"/>
      <c r="L14" s="6" t="n"/>
      <c r="N14" s="6" t="n"/>
    </row>
    <row r="15">
      <c r="A15" t="inlineStr">
        <is>
          <t>Fringe</t>
        </is>
      </c>
      <c r="E15" s="6" t="n"/>
      <c r="F15" s="6" t="n"/>
      <c r="H15" s="6" t="n"/>
      <c r="I15" s="6" t="n"/>
      <c r="K15" s="6" t="n"/>
      <c r="L15" s="6" t="n"/>
      <c r="N15" s="6" t="n"/>
    </row>
    <row r="16">
      <c r="A16" t="inlineStr">
        <is>
          <t>G&amp;A</t>
        </is>
      </c>
      <c r="E16" s="6" t="n"/>
      <c r="F16" s="6" t="n"/>
      <c r="H16" s="6" t="n"/>
      <c r="I16" s="6" t="n"/>
      <c r="K16" s="6" t="n"/>
      <c r="L16" s="6" t="n"/>
      <c r="N16" s="6" t="n"/>
    </row>
    <row r="17">
      <c r="E17" s="6" t="n"/>
      <c r="F17" s="6" t="n"/>
      <c r="H17" s="6" t="n"/>
      <c r="I17" s="6" t="n"/>
      <c r="K17" s="6" t="n"/>
      <c r="L17" s="6" t="n"/>
      <c r="N17" s="6" t="n"/>
    </row>
    <row r="18">
      <c r="A18" t="inlineStr">
        <is>
          <t>Subcontractor Labor Cost</t>
        </is>
      </c>
      <c r="E18" s="6" t="n"/>
      <c r="F18" s="6" t="n"/>
      <c r="H18" s="6" t="n"/>
      <c r="I18" s="6" t="n"/>
      <c r="K18" s="6" t="n"/>
      <c r="L18" s="6" t="n"/>
      <c r="N18" s="6" t="n"/>
    </row>
    <row r="19">
      <c r="A19" t="inlineStr">
        <is>
          <t>Subcontractor proposed cost and fee</t>
        </is>
      </c>
      <c r="E19" s="6" t="n"/>
      <c r="F19" s="6" t="n"/>
      <c r="H19" s="6" t="n"/>
      <c r="I19" s="6" t="n"/>
      <c r="K19" s="6" t="n"/>
      <c r="L19" s="6" t="n"/>
      <c r="N19" s="6" t="n"/>
    </row>
    <row r="20">
      <c r="A20" t="inlineStr">
        <is>
          <t>Total proposed subcontractor labor cost and fee</t>
        </is>
      </c>
      <c r="E20" s="6">
        <f>SUM(E20:E19)</f>
        <v/>
      </c>
      <c r="F20" s="6" t="n"/>
      <c r="H20" s="6" t="n"/>
      <c r="I20" s="6" t="n"/>
      <c r="K20" s="6" t="n"/>
      <c r="L20" s="6" t="n"/>
      <c r="N20" s="6" t="n"/>
    </row>
    <row r="21">
      <c r="E21" s="6" t="n"/>
      <c r="F21" s="6" t="n"/>
      <c r="H21" s="6" t="n"/>
      <c r="I21" s="6" t="n"/>
      <c r="K21" s="6" t="n"/>
      <c r="L21" s="6" t="n"/>
      <c r="N21" s="6" t="n"/>
    </row>
    <row r="22">
      <c r="A22" t="inlineStr">
        <is>
          <t>Prime contractor pass through (not including fee)</t>
        </is>
      </c>
      <c r="E22" s="6" t="n"/>
      <c r="F22" s="6" t="n"/>
      <c r="H22" s="6" t="n"/>
      <c r="I22" s="6" t="n"/>
      <c r="K22" s="6" t="n"/>
      <c r="L22" s="6" t="n"/>
      <c r="N22" s="6" t="n"/>
    </row>
    <row r="23">
      <c r="A23" t="inlineStr">
        <is>
          <t>Handling</t>
        </is>
      </c>
      <c r="E23" s="6">
        <f>H23+K23+N23</f>
        <v/>
      </c>
      <c r="F23" s="6" t="n">
        <v>0.0665</v>
      </c>
      <c r="H23" s="6">
        <f>H20*0.0665</f>
        <v/>
      </c>
      <c r="I23" s="6" t="n"/>
      <c r="K23" s="6">
        <f>K20*0.0665</f>
        <v/>
      </c>
      <c r="L23" s="6" t="n"/>
      <c r="N23" s="6">
        <f>N20*0.0665</f>
        <v/>
      </c>
    </row>
    <row r="24">
      <c r="A24" t="inlineStr">
        <is>
          <t>Other (if any)</t>
        </is>
      </c>
      <c r="E24" s="6" t="n"/>
      <c r="F24" s="6" t="n"/>
      <c r="H24" s="6" t="n"/>
      <c r="I24" s="6" t="n"/>
      <c r="K24" s="6" t="n"/>
      <c r="L24" s="6" t="n"/>
      <c r="N24" s="6" t="n"/>
    </row>
    <row r="25">
      <c r="A25" t="inlineStr">
        <is>
          <t>Total pass through (not including fee)</t>
        </is>
      </c>
      <c r="E25" s="6" t="n"/>
      <c r="F25" s="6" t="n"/>
      <c r="H25" s="6" t="n"/>
      <c r="I25" s="6" t="n"/>
      <c r="K25" s="6" t="n"/>
      <c r="L25" s="6" t="n"/>
      <c r="N25" s="6" t="n"/>
    </row>
    <row r="26">
      <c r="A26" t="inlineStr">
        <is>
          <t>Total Subcontractor Cost including pass through</t>
        </is>
      </c>
      <c r="E26" s="6" t="n"/>
      <c r="F26" s="6" t="n"/>
      <c r="H26" s="6" t="n"/>
      <c r="I26" s="6" t="n"/>
      <c r="K26" s="6" t="n"/>
      <c r="L26" s="6" t="n"/>
      <c r="N26" s="6" t="n"/>
    </row>
    <row r="27">
      <c r="E27" s="6" t="n"/>
      <c r="F27" s="6" t="n"/>
      <c r="H27" s="6" t="n"/>
      <c r="I27" s="6" t="n"/>
      <c r="K27" s="6" t="n"/>
      <c r="L27" s="6" t="n"/>
      <c r="N27" s="6" t="n"/>
    </row>
    <row r="28">
      <c r="A28" t="inlineStr">
        <is>
          <t>Total Labor Cost (Prime and Subcontractor Labor)</t>
        </is>
      </c>
      <c r="E28" s="6" t="n"/>
      <c r="F28" s="6" t="n"/>
      <c r="H28" s="6" t="n"/>
      <c r="I28" s="6" t="n"/>
      <c r="K28" s="6" t="n"/>
      <c r="L28" s="6" t="n"/>
      <c r="N28" s="6" t="n"/>
    </row>
    <row r="29">
      <c r="E29" s="6" t="n"/>
      <c r="F29" s="6" t="n"/>
      <c r="H29" s="6" t="n"/>
      <c r="I29" s="6" t="n"/>
      <c r="K29" s="6" t="n"/>
      <c r="L29" s="6" t="n"/>
      <c r="N29" s="6" t="n"/>
    </row>
    <row r="30">
      <c r="A30" t="inlineStr">
        <is>
          <t>Fixed Fee</t>
        </is>
      </c>
      <c r="E30" s="6" t="n"/>
      <c r="F30" s="6" t="n"/>
      <c r="H30" s="6" t="n"/>
      <c r="I30" s="6" t="n"/>
      <c r="K30" s="6" t="n"/>
      <c r="L30" s="6" t="n"/>
      <c r="N30" s="6" t="n"/>
    </row>
    <row r="31">
      <c r="A31" t="inlineStr">
        <is>
          <t>Prime Contractor Fee for Prime Contractor Labor</t>
        </is>
      </c>
      <c r="E31" s="6" t="n"/>
      <c r="F31" s="6" t="n">
        <v>0.08</v>
      </c>
      <c r="H31" s="6" t="n"/>
      <c r="I31" s="6" t="n"/>
      <c r="K31" s="6" t="n"/>
      <c r="L31" s="6" t="n"/>
      <c r="N31" s="6" t="n"/>
    </row>
    <row r="32">
      <c r="A32" t="inlineStr">
        <is>
          <t>Prime Contractor Fee for Subcontractor Labor *</t>
        </is>
      </c>
      <c r="E32" s="6" t="n"/>
      <c r="F32" s="6" t="n">
        <v>0.0126</v>
      </c>
      <c r="H32" s="6" t="n"/>
      <c r="I32" s="6" t="n"/>
      <c r="K32" s="6" t="n"/>
      <c r="L32" s="6" t="n"/>
      <c r="N32" s="6" t="n"/>
    </row>
    <row r="33">
      <c r="A33" t="inlineStr">
        <is>
          <t>Total Fee (for Prime and Subcontractor Labor)</t>
        </is>
      </c>
      <c r="E33" s="6" t="n"/>
      <c r="F33" s="6" t="n"/>
      <c r="H33" s="6" t="n"/>
      <c r="I33" s="6" t="n"/>
      <c r="K33" s="6" t="n"/>
      <c r="L33" s="6" t="n"/>
      <c r="N33" s="6" t="n"/>
    </row>
    <row r="34">
      <c r="E34" s="6" t="n"/>
      <c r="F34" s="6" t="n"/>
      <c r="H34" s="6" t="n"/>
      <c r="I34" s="6" t="n"/>
      <c r="K34" s="6" t="n"/>
      <c r="L34" s="6" t="n"/>
      <c r="N34" s="6" t="n"/>
    </row>
    <row r="35">
      <c r="A35" t="inlineStr">
        <is>
          <t>Total Labor Cost Plus Fixed Fee (CPFF)</t>
        </is>
      </c>
      <c r="E35" s="6" t="n"/>
      <c r="F35" s="6" t="n"/>
      <c r="H35" s="6" t="n"/>
      <c r="I35" s="6" t="n"/>
      <c r="K35" s="6" t="n"/>
      <c r="L35" s="6" t="n"/>
      <c r="N35" s="6" t="n"/>
    </row>
    <row r="36">
      <c r="E36" s="6" t="n"/>
      <c r="F36" s="6" t="n"/>
      <c r="H36" s="6" t="n"/>
      <c r="I36" s="6" t="n"/>
      <c r="K36" s="6" t="n"/>
      <c r="L36" s="6" t="n"/>
      <c r="N36" s="6" t="n"/>
    </row>
    <row r="37">
      <c r="A37" t="inlineStr">
        <is>
          <t>Other Direct Costs</t>
        </is>
      </c>
      <c r="E37" s="6" t="n"/>
      <c r="F37" s="6" t="n"/>
      <c r="H37" s="6" t="n"/>
      <c r="I37" s="6" t="n"/>
      <c r="K37" s="6" t="n"/>
      <c r="L37" s="6" t="n"/>
      <c r="N37" s="6" t="n"/>
    </row>
    <row r="38">
      <c r="A38" t="inlineStr">
        <is>
          <t>Travel</t>
        </is>
      </c>
      <c r="E38" s="6">
        <f>H38+K38+N38</f>
        <v/>
      </c>
      <c r="F38" s="6" t="n"/>
      <c r="H38" s="6" t="n">
        <v>6106</v>
      </c>
      <c r="I38" s="6" t="n"/>
      <c r="K38" s="6" t="n">
        <v>6106</v>
      </c>
      <c r="L38" s="6" t="n"/>
      <c r="N38" s="6" t="n">
        <v>6106</v>
      </c>
    </row>
    <row r="39">
      <c r="A39" t="inlineStr">
        <is>
          <t>Total Other Direct Costs</t>
        </is>
      </c>
      <c r="E39" s="6">
        <f>SUM(E38:E38)</f>
        <v/>
      </c>
      <c r="F39" s="6" t="n"/>
      <c r="H39" s="6" t="n"/>
      <c r="I39" s="6" t="n"/>
      <c r="K39" s="6" t="n"/>
      <c r="L39" s="6" t="n"/>
      <c r="N39" s="6" t="n"/>
    </row>
    <row r="40">
      <c r="E40" s="6" t="n"/>
      <c r="F40" s="6" t="n"/>
      <c r="H40" s="6" t="n"/>
      <c r="I40" s="6" t="n"/>
      <c r="K40" s="6" t="n"/>
      <c r="L40" s="6" t="n"/>
      <c r="N40" s="6" t="n"/>
    </row>
    <row r="41">
      <c r="A41" t="inlineStr">
        <is>
          <t>GRAND TOTAL (Labor + Fee + ODCs)</t>
        </is>
      </c>
      <c r="E41" s="6" t="n"/>
      <c r="F41" s="6" t="n"/>
      <c r="H41" s="6" t="n"/>
      <c r="I41" s="6" t="n"/>
      <c r="K41" s="6" t="n"/>
      <c r="L41" s="6" t="n"/>
      <c r="N41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8"/>
  <sheetViews>
    <sheetView workbookViewId="0">
      <selection activeCell="A1" sqref="A1"/>
    </sheetView>
  </sheetViews>
  <sheetFormatPr baseColWidth="8" defaultRowHeight="15"/>
  <cols>
    <col width="12" customWidth="1" min="2" max="2"/>
    <col width="15" customWidth="1" min="3" max="3"/>
    <col width="12" customWidth="1" min="4" max="4"/>
    <col width="12" customWidth="1" min="5" max="5"/>
    <col width="15" customWidth="1" min="6" max="6"/>
    <col width="35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>
      <c r="C2" s="2" t="inlineStr">
        <is>
          <t>Nexagen FBLR</t>
        </is>
      </c>
      <c r="J2">
        <f>D8</f>
        <v/>
      </c>
      <c r="K2">
        <f>D7</f>
        <v/>
      </c>
      <c r="M2">
        <f>D4</f>
        <v/>
      </c>
      <c r="N2">
        <f>D3</f>
        <v/>
      </c>
    </row>
    <row r="3">
      <c r="B3" s="7" t="inlineStr">
        <is>
          <t>FEE</t>
        </is>
      </c>
      <c r="C3" s="6" t="n">
        <v>140</v>
      </c>
      <c r="D3" s="8" t="n">
        <v>0.0126</v>
      </c>
      <c r="E3" s="6">
        <f>C3*D3</f>
        <v/>
      </c>
      <c r="F3" s="6">
        <f>C3+E3</f>
        <v/>
      </c>
      <c r="H3" s="4" t="inlineStr">
        <is>
          <t>Labor Category</t>
        </is>
      </c>
      <c r="I3" s="4" t="inlineStr">
        <is>
          <t>Nexagen FBLR</t>
        </is>
      </c>
      <c r="J3" s="4" t="inlineStr">
        <is>
          <t>FEE</t>
        </is>
      </c>
      <c r="K3" s="4" t="inlineStr">
        <is>
          <t>S&amp;MH</t>
        </is>
      </c>
      <c r="L3" s="4" t="inlineStr">
        <is>
          <t>Target Rate</t>
        </is>
      </c>
      <c r="M3" s="4" t="inlineStr">
        <is>
          <t>S&amp;MH</t>
        </is>
      </c>
      <c r="N3" s="4" t="inlineStr">
        <is>
          <t>FEE</t>
        </is>
      </c>
      <c r="O3" s="4" t="inlineStr">
        <is>
          <t>Diff Check</t>
        </is>
      </c>
    </row>
    <row r="4">
      <c r="B4" s="7" t="inlineStr">
        <is>
          <t>S&amp;MH</t>
        </is>
      </c>
      <c r="C4" s="6">
        <f>F3</f>
        <v/>
      </c>
      <c r="D4" s="8" t="n">
        <v>0.0665</v>
      </c>
      <c r="E4" s="6">
        <f>C4*D4</f>
        <v/>
      </c>
      <c r="F4" s="6">
        <f>C4+E4</f>
        <v/>
      </c>
      <c r="H4" t="inlineStr">
        <is>
          <t>Agile Scrum Master</t>
        </is>
      </c>
      <c r="I4" s="6" t="n">
        <v>140</v>
      </c>
      <c r="J4" s="6">
        <f>ROUND(I4-(I4*$J$2),0)</f>
        <v/>
      </c>
      <c r="K4" s="6">
        <f>ROUND(J4-(J4*$K$2),0)</f>
        <v/>
      </c>
      <c r="L4" s="6">
        <f>ROUND(K4,0)</f>
        <v/>
      </c>
      <c r="M4" s="6">
        <f>ROUND(L4+(L4*$M$2),0)</f>
        <v/>
      </c>
      <c r="N4" s="6">
        <f>ROUND(M4+(M4*$N$2),0)</f>
        <v/>
      </c>
      <c r="O4" s="6">
        <f>I4-N4</f>
        <v/>
      </c>
    </row>
    <row r="5">
      <c r="H5" t="inlineStr">
        <is>
          <t>Budget Analyst</t>
        </is>
      </c>
      <c r="I5" s="6" t="n">
        <v>89</v>
      </c>
      <c r="J5" s="6">
        <f>ROUND(I5-(I5*$J$2),0)</f>
        <v/>
      </c>
      <c r="K5" s="6">
        <f>ROUND(J5-(J5*$K$2),0)</f>
        <v/>
      </c>
      <c r="L5" s="6">
        <f>ROUND(K5,0)</f>
        <v/>
      </c>
      <c r="M5" s="6">
        <f>ROUND(L5+(L5*$M$2),0)</f>
        <v/>
      </c>
      <c r="N5" s="6">
        <f>ROUND(M5+(M5*$N$2),0)</f>
        <v/>
      </c>
      <c r="O5" s="6">
        <f>I5-N5</f>
        <v/>
      </c>
    </row>
    <row r="6">
      <c r="H6" t="inlineStr">
        <is>
          <t>Cloud SME (Azure/AWS)</t>
        </is>
      </c>
      <c r="I6" s="6" t="n">
        <v>193</v>
      </c>
      <c r="J6" s="6">
        <f>ROUND(I6-(I6*$J$2),0)</f>
        <v/>
      </c>
      <c r="K6" s="6">
        <f>ROUND(J6-(J6*$K$2),0)</f>
        <v/>
      </c>
      <c r="L6" s="6">
        <f>ROUND(K6,0)</f>
        <v/>
      </c>
      <c r="M6" s="6">
        <f>ROUND(L6+(L6*$M$2),0)</f>
        <v/>
      </c>
      <c r="N6" s="6">
        <f>ROUND(M6+(M6*$N$2),0)</f>
        <v/>
      </c>
      <c r="O6" s="6">
        <f>I6-N6</f>
        <v/>
      </c>
    </row>
    <row r="7">
      <c r="B7" t="inlineStr">
        <is>
          <t>S&amp;MH</t>
        </is>
      </c>
      <c r="C7">
        <f>F4</f>
        <v/>
      </c>
      <c r="D7" t="n">
        <v>0.06567252617025479</v>
      </c>
      <c r="E7">
        <f>C7*D7</f>
        <v/>
      </c>
      <c r="F7">
        <f>C7-E7</f>
        <v/>
      </c>
      <c r="H7" t="inlineStr">
        <is>
          <t>Systems Administrator</t>
        </is>
      </c>
      <c r="I7" s="6" t="n">
        <v>112</v>
      </c>
      <c r="J7" s="6">
        <f>ROUND(I7-(I7*$J$2),0)</f>
        <v/>
      </c>
      <c r="K7" s="6">
        <f>ROUND(J7-(J7*$K$2),0)</f>
        <v/>
      </c>
      <c r="L7" s="6">
        <f>ROUND(K7,0)</f>
        <v/>
      </c>
      <c r="M7" s="6">
        <f>ROUND(L7+(L7*$M$2),0)</f>
        <v/>
      </c>
      <c r="N7" s="6">
        <f>ROUND(M7+(M7*$N$2),0)</f>
        <v/>
      </c>
      <c r="O7" s="6">
        <f>I7-N7</f>
        <v/>
      </c>
    </row>
    <row r="8">
      <c r="B8" t="inlineStr">
        <is>
          <t>FEE</t>
        </is>
      </c>
      <c r="C8">
        <f>F7</f>
        <v/>
      </c>
      <c r="D8" t="n">
        <v>0.01244321548489038</v>
      </c>
      <c r="E8">
        <f>C8*D8</f>
        <v/>
      </c>
      <c r="F8">
        <f>C8-E8</f>
        <v/>
      </c>
      <c r="H8" t="inlineStr">
        <is>
          <t>Network Engineer</t>
        </is>
      </c>
      <c r="I8" s="6" t="n">
        <v>148</v>
      </c>
      <c r="J8" s="6">
        <f>ROUND(I8-(I8*$J$2),0)</f>
        <v/>
      </c>
      <c r="K8" s="6">
        <f>ROUND(J8-(J8*$K$2),0)</f>
        <v/>
      </c>
      <c r="L8" s="6">
        <f>ROUND(K8,0)</f>
        <v/>
      </c>
      <c r="M8" s="6">
        <f>ROUND(L8+(L8*$M$2),0)</f>
        <v/>
      </c>
      <c r="N8" s="6">
        <f>ROUND(M8+(M8*$N$2),0)</f>
        <v/>
      </c>
      <c r="O8" s="6">
        <f>I8-N8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2025-11-21T21:54:21Z</dcterms:created>
  <dcterms:modified xmlns:dcterms="http://purl.org/dc/terms/" xmlns:xsi="http://www.w3.org/2001/XMLSchema-instance" xsi:type="dcterms:W3CDTF">2025-11-21T21:54:21Z</dcterms:modified>
</cp:coreProperties>
</file>