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rthparikh/Desktop/"/>
    </mc:Choice>
  </mc:AlternateContent>
  <xr:revisionPtr revIDLastSave="0" documentId="8_{978B1D36-E2D6-5B45-819B-B1DDCEF4A309}" xr6:coauthVersionLast="47" xr6:coauthVersionMax="47" xr10:uidLastSave="{00000000-0000-0000-0000-000000000000}"/>
  <bookViews>
    <workbookView xWindow="-38280" yWindow="-2140" windowWidth="38340" windowHeight="20600" xr2:uid="{63F4CA30-F6E9-2043-BCD5-97B8EED324E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" i="1" l="1"/>
  <c r="M16" i="1" s="1"/>
  <c r="K15" i="1"/>
  <c r="M15" i="1" s="1"/>
  <c r="K14" i="1"/>
  <c r="M14" i="1" s="1"/>
  <c r="K13" i="1"/>
  <c r="M13" i="1" s="1"/>
  <c r="K12" i="1"/>
  <c r="M12" i="1" s="1"/>
  <c r="K11" i="1"/>
  <c r="M11" i="1" s="1"/>
  <c r="K10" i="1"/>
  <c r="M10" i="1" s="1"/>
  <c r="K9" i="1"/>
  <c r="M9" i="1" s="1"/>
  <c r="N9" i="1" s="1"/>
  <c r="K8" i="1"/>
  <c r="M8" i="1" s="1"/>
  <c r="K7" i="1"/>
  <c r="M7" i="1" s="1"/>
  <c r="K6" i="1"/>
  <c r="M6" i="1" s="1"/>
  <c r="K5" i="1"/>
  <c r="M5" i="1" s="1"/>
  <c r="K4" i="1"/>
  <c r="M4" i="1" s="1"/>
  <c r="K3" i="1"/>
  <c r="M3" i="1" s="1"/>
  <c r="N10" i="1" l="1"/>
  <c r="O10" i="1" s="1"/>
  <c r="P10" i="1" s="1"/>
  <c r="Q10" i="1" s="1"/>
  <c r="R10" i="1" s="1"/>
  <c r="T10" i="1" s="1"/>
  <c r="M17" i="1"/>
  <c r="N3" i="1"/>
  <c r="O3" i="1" s="1"/>
  <c r="P3" i="1" s="1"/>
  <c r="Q3" i="1" s="1"/>
  <c r="R3" i="1"/>
  <c r="N12" i="1"/>
  <c r="O12" i="1" s="1"/>
  <c r="P12" i="1" s="1"/>
  <c r="Q12" i="1" s="1"/>
  <c r="N13" i="1"/>
  <c r="O13" i="1" s="1"/>
  <c r="P13" i="1" s="1"/>
  <c r="Q13" i="1" s="1"/>
  <c r="N14" i="1"/>
  <c r="O14" i="1" s="1"/>
  <c r="P14" i="1" s="1"/>
  <c r="Q14" i="1" s="1"/>
  <c r="N15" i="1"/>
  <c r="O15" i="1" s="1"/>
  <c r="P15" i="1" s="1"/>
  <c r="Q15" i="1" s="1"/>
  <c r="N8" i="1"/>
  <c r="O8" i="1" s="1"/>
  <c r="P8" i="1" s="1"/>
  <c r="Q8" i="1" s="1"/>
  <c r="N4" i="1"/>
  <c r="O4" i="1" s="1"/>
  <c r="P4" i="1" s="1"/>
  <c r="Q4" i="1" s="1"/>
  <c r="N6" i="1"/>
  <c r="O6" i="1" s="1"/>
  <c r="P6" i="1" s="1"/>
  <c r="Q6" i="1" s="1"/>
  <c r="N7" i="1"/>
  <c r="O7" i="1" s="1"/>
  <c r="P7" i="1" s="1"/>
  <c r="Q7" i="1" s="1"/>
  <c r="N5" i="1"/>
  <c r="O5" i="1" s="1"/>
  <c r="P5" i="1" s="1"/>
  <c r="Q5" i="1" s="1"/>
  <c r="O9" i="1"/>
  <c r="P9" i="1" s="1"/>
  <c r="Q9" i="1" s="1"/>
  <c r="N16" i="1"/>
  <c r="O16" i="1" s="1"/>
  <c r="P16" i="1" s="1"/>
  <c r="Q16" i="1" s="1"/>
  <c r="K17" i="1"/>
  <c r="N11" i="1"/>
  <c r="O11" i="1" s="1"/>
  <c r="P11" i="1" s="1"/>
  <c r="Q11" i="1" s="1"/>
  <c r="R6" i="1" l="1"/>
  <c r="T6" i="1" s="1"/>
  <c r="R11" i="1"/>
  <c r="T11" i="1" s="1"/>
  <c r="R13" i="1"/>
  <c r="T13" i="1" s="1"/>
  <c r="R4" i="1"/>
  <c r="T4" i="1" s="1"/>
  <c r="R5" i="1"/>
  <c r="T5" i="1" s="1"/>
  <c r="R9" i="1"/>
  <c r="T9" i="1" s="1"/>
  <c r="R8" i="1"/>
  <c r="T8" i="1" s="1"/>
  <c r="T3" i="1"/>
  <c r="R14" i="1"/>
  <c r="T14" i="1" s="1"/>
  <c r="R12" i="1"/>
  <c r="T12" i="1" s="1"/>
  <c r="R16" i="1"/>
  <c r="T16" i="1" s="1"/>
  <c r="R15" i="1"/>
  <c r="T15" i="1" s="1"/>
  <c r="R7" i="1"/>
  <c r="T7" i="1" s="1"/>
  <c r="T17" i="1" l="1"/>
  <c r="R17" i="1"/>
</calcChain>
</file>

<file path=xl/sharedStrings.xml><?xml version="1.0" encoding="utf-8"?>
<sst xmlns="http://schemas.openxmlformats.org/spreadsheetml/2006/main" count="69" uniqueCount="57">
  <si>
    <t>BLS Salary Data</t>
  </si>
  <si>
    <t>Labor Category</t>
  </si>
  <si>
    <t>Experience</t>
  </si>
  <si>
    <t>BLS Code</t>
  </si>
  <si>
    <t>BLS LCAT</t>
  </si>
  <si>
    <t>10th</t>
  </si>
  <si>
    <t>25th</t>
  </si>
  <si>
    <t>50th</t>
  </si>
  <si>
    <t>75th</t>
  </si>
  <si>
    <t>90th</t>
  </si>
  <si>
    <t>Salary</t>
  </si>
  <si>
    <t>DL Rate</t>
  </si>
  <si>
    <t>Fringe</t>
  </si>
  <si>
    <t>OH</t>
  </si>
  <si>
    <t>G&amp;A</t>
  </si>
  <si>
    <t>Fee</t>
  </si>
  <si>
    <t>Partner Rate</t>
  </si>
  <si>
    <t>FL Salary</t>
  </si>
  <si>
    <t>Indirect Rates</t>
  </si>
  <si>
    <t>Agile Scum Master</t>
  </si>
  <si>
    <t>8344</t>
  </si>
  <si>
    <t>Agile Coach</t>
  </si>
  <si>
    <t>Budget Analyst</t>
  </si>
  <si>
    <t>Cloud SME (Azure/AWS)</t>
  </si>
  <si>
    <t>6140</t>
  </si>
  <si>
    <t>Cloud Engineer</t>
  </si>
  <si>
    <t>Configuration Management Specialist</t>
  </si>
  <si>
    <t>6521</t>
  </si>
  <si>
    <t>S&amp;MH</t>
  </si>
  <si>
    <t>Cyber Security Engineer</t>
  </si>
  <si>
    <t>6148</t>
  </si>
  <si>
    <t>Database Analyst</t>
  </si>
  <si>
    <t>1864</t>
  </si>
  <si>
    <t>Escalation</t>
  </si>
  <si>
    <t>Network and Computer Systems Administrator</t>
  </si>
  <si>
    <t>46056</t>
  </si>
  <si>
    <t>Computer Network Administrator</t>
  </si>
  <si>
    <t>Network Engineer</t>
  </si>
  <si>
    <t>5941</t>
  </si>
  <si>
    <t>Program Manager</t>
  </si>
  <si>
    <t>2768</t>
  </si>
  <si>
    <t>SME (Redhat/Cyber/Other)</t>
  </si>
  <si>
    <t>230811</t>
  </si>
  <si>
    <t>Subject Matter Expert Technical</t>
  </si>
  <si>
    <t>Software Developer</t>
  </si>
  <si>
    <t>82865</t>
  </si>
  <si>
    <t>System Engineer</t>
  </si>
  <si>
    <t>5848</t>
  </si>
  <si>
    <t>Systems Engineer</t>
  </si>
  <si>
    <t>Technical Writer/Editor</t>
  </si>
  <si>
    <t>751</t>
  </si>
  <si>
    <t>Technical Writer</t>
  </si>
  <si>
    <t>Test Engineer</t>
  </si>
  <si>
    <t>1185</t>
  </si>
  <si>
    <t>Hours</t>
  </si>
  <si>
    <t>Full Burdened Rate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</si>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</sst>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5" formatCode="&quot;$&quot;#,##0"/>
  </numFmts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0" fontId="6" fillId="0" borderId="0"/>
  </cellStyleXfs>
  <cellXfs count="4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top"/>
    </xf>
    <xf numFmtId="0" fontId="0" fillId="3" borderId="1" xfId="0" applyFill="1" applyBorder="1" applyAlignment="1">
      <alignment horizontal="center" vertical="top"/>
    </xf>
    <xf numFmtId="10" fontId="0" fillId="2" borderId="1" xfId="2" applyNumberFormat="1" applyFont="1" applyFill="1" applyBorder="1" applyAlignment="1">
      <alignment horizontal="center" vertical="top"/>
    </xf>
    <xf numFmtId="10" fontId="0" fillId="3" borderId="1" xfId="2" applyNumberFormat="1" applyFont="1" applyFill="1" applyBorder="1" applyAlignment="1">
      <alignment horizontal="center" vertical="top"/>
    </xf>
    <xf numFmtId="0" fontId="0" fillId="2" borderId="0" xfId="0" applyFill="1" applyAlignment="1">
      <alignment horizontal="center" vertical="top"/>
    </xf>
    <xf numFmtId="0" fontId="5" fillId="2" borderId="1" xfId="3" applyFont="1" applyFill="1" applyBorder="1" applyAlignment="1">
      <alignment horizontal="center" vertical="center"/>
    </xf>
    <xf numFmtId="0" fontId="5" fillId="0" borderId="1" xfId="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44" fontId="0" fillId="2" borderId="1" xfId="1" applyFont="1" applyFill="1" applyBorder="1" applyAlignment="1">
      <alignment horizontal="center" vertical="top"/>
    </xf>
    <xf numFmtId="44" fontId="0" fillId="0" borderId="1" xfId="1" applyFont="1" applyFill="1" applyBorder="1" applyAlignment="1">
      <alignment horizontal="center" vertical="top"/>
    </xf>
    <xf numFmtId="164" fontId="0" fillId="4" borderId="1" xfId="0" applyNumberFormat="1" applyFill="1" applyBorder="1" applyAlignment="1">
      <alignment horizontal="center" vertical="top"/>
    </xf>
    <xf numFmtId="164" fontId="0" fillId="5" borderId="1" xfId="0" applyNumberFormat="1" applyFill="1" applyBorder="1" applyAlignment="1">
      <alignment horizontal="center" vertical="top"/>
    </xf>
    <xf numFmtId="44" fontId="0" fillId="5" borderId="1" xfId="0" applyNumberFormat="1" applyFill="1" applyBorder="1" applyAlignment="1">
      <alignment horizontal="center" vertical="top"/>
    </xf>
    <xf numFmtId="165" fontId="0" fillId="6" borderId="1" xfId="0" applyNumberFormat="1" applyFill="1" applyBorder="1" applyAlignment="1">
      <alignment horizontal="center" vertical="top"/>
    </xf>
    <xf numFmtId="44" fontId="0" fillId="6" borderId="1" xfId="0" applyNumberFormat="1" applyFill="1" applyBorder="1" applyAlignment="1">
      <alignment horizontal="center" vertical="top"/>
    </xf>
    <xf numFmtId="0" fontId="0" fillId="2" borderId="4" xfId="0" applyFill="1" applyBorder="1" applyAlignment="1">
      <alignment horizontal="left" vertical="center"/>
    </xf>
    <xf numFmtId="164" fontId="2" fillId="2" borderId="1" xfId="0" applyNumberFormat="1" applyFont="1" applyFill="1" applyBorder="1" applyAlignment="1">
      <alignment horizontal="center" vertical="top"/>
    </xf>
    <xf numFmtId="165" fontId="2" fillId="2" borderId="1" xfId="0" applyNumberFormat="1" applyFont="1" applyFill="1" applyBorder="1" applyAlignment="1">
      <alignment horizontal="center" vertical="top"/>
    </xf>
    <xf numFmtId="44" fontId="2" fillId="2" borderId="1" xfId="0" applyNumberFormat="1" applyFont="1" applyFill="1" applyBorder="1" applyAlignment="1">
      <alignment horizontal="center" vertical="top"/>
    </xf>
    <xf numFmtId="0" fontId="0" fillId="2" borderId="0" xfId="0" applyFill="1" applyAlignment="1"/>
    <xf numFmtId="0" fontId="0" fillId="0" borderId="0" xfId="0" applyAlignment="1"/>
    <xf numFmtId="0" fontId="4" fillId="2" borderId="0" xfId="0" applyFont="1" applyFill="1" applyAlignment="1"/>
    <xf numFmtId="0" fontId="2" fillId="2" borderId="0" xfId="0" applyFont="1" applyFill="1" applyAlignment="1"/>
    <xf numFmtId="0" fontId="0" fillId="2" borderId="1" xfId="4" applyFont="1" applyFill="1" applyBorder="1" applyAlignment="1">
      <alignment horizontal="left" vertical="top"/>
    </xf>
    <xf numFmtId="0" fontId="0" fillId="2" borderId="1" xfId="4" applyFont="1" applyFill="1" applyBorder="1" applyAlignment="1">
      <alignment horizontal="center" vertical="top"/>
    </xf>
    <xf numFmtId="0" fontId="0" fillId="0" borderId="1" xfId="4" applyFont="1" applyBorder="1" applyAlignment="1">
      <alignment horizontal="left" vertical="top"/>
    </xf>
    <xf numFmtId="10" fontId="0" fillId="2" borderId="5" xfId="2" applyNumberFormat="1" applyFont="1" applyFill="1" applyBorder="1" applyAlignment="1"/>
    <xf numFmtId="10" fontId="0" fillId="3" borderId="5" xfId="2" applyNumberFormat="1" applyFont="1" applyFill="1" applyBorder="1" applyAlignment="1"/>
    <xf numFmtId="0" fontId="0" fillId="2" borderId="6" xfId="0" applyFill="1" applyBorder="1" applyAlignment="1"/>
    <xf numFmtId="10" fontId="0" fillId="3" borderId="7" xfId="2" applyNumberFormat="1" applyFont="1" applyFill="1" applyBorder="1" applyAlignment="1"/>
    <xf numFmtId="0" fontId="0" fillId="2" borderId="1" xfId="0" applyFill="1" applyBorder="1" applyAlignment="1"/>
    <xf numFmtId="0" fontId="0" fillId="0" borderId="1" xfId="0" applyBorder="1" applyAlignment="1"/>
    <xf numFmtId="0" fontId="2" fillId="2" borderId="1" xfId="0" applyFont="1" applyFill="1" applyBorder="1" applyAlignment="1"/>
    <xf numFmtId="0" fontId="0" fillId="4" borderId="1" xfId="0" applyNumberFormat="1" applyFill="1" applyBorder="1" applyAlignment="1">
      <alignment horizontal="center" vertical="top"/>
    </xf>
  </cellXfs>
  <cellStyles count="5">
    <cellStyle name="Currency" xfId="1" builtinId="4"/>
    <cellStyle name="Normal" xfId="0" builtinId="0"/>
    <cellStyle name="Normal 3 2" xfId="4" xr:uid="{BEAF884C-1FC7-544B-A9A8-39B393CB2A6C}"/>
    <cellStyle name="Normal 8" xfId="3" xr:uid="{F9DEF9FC-F5E0-BF43-B736-4DE0119A6B4D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F43C2-9A11-C348-A2DC-AF501F8CE1D8}">
  <dimension ref="A1:AE17"/>
  <sheetViews>
    <sheetView tabSelected="1" zoomScale="110" zoomScaleNormal="110" workbookViewId="0">
      <selection activeCell="D12" sqref="D12"/>
    </sheetView>
  </sheetViews>
  <sheetFormatPr baseColWidth="10" defaultColWidth="13" defaultRowHeight="16" x14ac:dyDescent="0.2"/>
  <cols>
    <col min="1" max="1" width="39" style="27" bestFit="1" customWidth="1"/>
    <col min="2" max="2" width="10" style="27" bestFit="1" customWidth="1"/>
    <col min="3" max="3" width="8.5" style="27" customWidth="1"/>
    <col min="4" max="4" width="8.5" style="27" bestFit="1" customWidth="1"/>
    <col min="5" max="5" width="32" style="27" bestFit="1" customWidth="1"/>
    <col min="6" max="10" width="12.5" style="27" bestFit="1" customWidth="1"/>
    <col min="11" max="11" width="11.1640625" style="27" bestFit="1" customWidth="1"/>
    <col min="12" max="12" width="11.1640625" style="27" customWidth="1"/>
    <col min="13" max="13" width="7" style="27" bestFit="1" customWidth="1"/>
    <col min="14" max="14" width="8" style="27" bestFit="1" customWidth="1"/>
    <col min="15" max="15" width="7" style="27" bestFit="1" customWidth="1"/>
    <col min="16" max="17" width="8" style="27" bestFit="1" customWidth="1"/>
    <col min="18" max="18" width="15.83203125" style="27" bestFit="1" customWidth="1"/>
    <col min="19" max="19" width="10.83203125" style="27" bestFit="1" customWidth="1"/>
    <col min="20" max="20" width="12.5" style="27" bestFit="1" customWidth="1"/>
    <col min="21" max="21" width="13" style="27"/>
    <col min="22" max="22" width="9.6640625" style="27" bestFit="1" customWidth="1"/>
    <col min="23" max="23" width="7.1640625" style="27" bestFit="1" customWidth="1"/>
    <col min="24" max="16384" width="13" style="27"/>
  </cols>
  <sheetData>
    <row r="1" spans="1:31" s="28" customFormat="1" ht="17" thickBot="1" x14ac:dyDescent="0.25">
      <c r="A1" s="26"/>
      <c r="B1" s="26"/>
      <c r="C1" s="26"/>
      <c r="D1" s="26"/>
      <c r="E1" s="27"/>
      <c r="F1" s="1" t="s">
        <v>0</v>
      </c>
      <c r="G1" s="1"/>
      <c r="H1" s="1"/>
      <c r="I1" s="1"/>
      <c r="J1" s="1"/>
      <c r="K1" s="2"/>
      <c r="L1" s="2"/>
      <c r="M1" s="3">
        <v>1920</v>
      </c>
      <c r="N1" s="4">
        <v>0.251</v>
      </c>
      <c r="O1" s="4">
        <v>8.1000000000000003E-2</v>
      </c>
      <c r="P1" s="4">
        <v>0.19500000000000001</v>
      </c>
      <c r="Q1" s="5">
        <v>9.0999999999999998E-2</v>
      </c>
      <c r="R1" s="6"/>
      <c r="S1" s="26"/>
      <c r="T1" s="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</row>
    <row r="2" spans="1:31" s="28" customFormat="1" x14ac:dyDescent="0.2">
      <c r="A2" s="7" t="s">
        <v>1</v>
      </c>
      <c r="B2" s="7" t="s">
        <v>2</v>
      </c>
      <c r="C2" s="7" t="s">
        <v>56</v>
      </c>
      <c r="D2" s="7" t="s">
        <v>3</v>
      </c>
      <c r="E2" s="8" t="s">
        <v>4</v>
      </c>
      <c r="F2" s="9" t="s">
        <v>5</v>
      </c>
      <c r="G2" s="9" t="s">
        <v>6</v>
      </c>
      <c r="H2" s="9" t="s">
        <v>7</v>
      </c>
      <c r="I2" s="9" t="s">
        <v>8</v>
      </c>
      <c r="J2" s="9" t="s">
        <v>9</v>
      </c>
      <c r="K2" s="10" t="s">
        <v>10</v>
      </c>
      <c r="L2" s="10" t="s">
        <v>54</v>
      </c>
      <c r="M2" s="11" t="s">
        <v>11</v>
      </c>
      <c r="N2" s="11" t="s">
        <v>12</v>
      </c>
      <c r="O2" s="11" t="s">
        <v>13</v>
      </c>
      <c r="P2" s="11" t="s">
        <v>14</v>
      </c>
      <c r="Q2" s="11" t="s">
        <v>15</v>
      </c>
      <c r="R2" s="12" t="s">
        <v>55</v>
      </c>
      <c r="S2" s="12" t="s">
        <v>16</v>
      </c>
      <c r="T2" s="12" t="s">
        <v>17</v>
      </c>
      <c r="U2" s="29"/>
      <c r="V2" s="13" t="s">
        <v>18</v>
      </c>
      <c r="W2" s="14"/>
      <c r="X2" s="26"/>
      <c r="Y2" s="26"/>
      <c r="Z2" s="26"/>
      <c r="AA2" s="26"/>
      <c r="AB2" s="26"/>
      <c r="AC2" s="26"/>
      <c r="AD2" s="26"/>
      <c r="AE2" s="26"/>
    </row>
    <row r="3" spans="1:31" s="28" customFormat="1" x14ac:dyDescent="0.2">
      <c r="A3" s="30" t="s">
        <v>19</v>
      </c>
      <c r="B3" s="31">
        <v>5</v>
      </c>
      <c r="C3" s="31"/>
      <c r="D3" s="31" t="s">
        <v>20</v>
      </c>
      <c r="E3" s="32" t="s">
        <v>21</v>
      </c>
      <c r="F3" s="15">
        <v>113389</v>
      </c>
      <c r="G3" s="15">
        <v>122754</v>
      </c>
      <c r="H3" s="15">
        <v>134726</v>
      </c>
      <c r="I3" s="16">
        <v>146311</v>
      </c>
      <c r="J3" s="16">
        <v>157092</v>
      </c>
      <c r="K3" s="17">
        <f>I3</f>
        <v>146311</v>
      </c>
      <c r="L3" s="40">
        <v>1920</v>
      </c>
      <c r="M3" s="18">
        <f t="shared" ref="M3:M16" si="0">K3/$M$1</f>
        <v>76.20364583333334</v>
      </c>
      <c r="N3" s="19">
        <f t="shared" ref="N3:N16" si="1">M3*$N$1</f>
        <v>19.12711510416667</v>
      </c>
      <c r="O3" s="19">
        <f t="shared" ref="O3:O16" si="2">(N3+M3)*$O$1</f>
        <v>7.7217916359375005</v>
      </c>
      <c r="P3" s="19">
        <f t="shared" ref="P3:P16" si="3">(O3+N3+M3)*$P$1</f>
        <v>20.095247751820317</v>
      </c>
      <c r="Q3" s="19">
        <f t="shared" ref="Q3:Q16" si="4">(P3+O3+N3+M3)*$Q$1</f>
        <v>11.206449829598462</v>
      </c>
      <c r="R3" s="20">
        <f>ROUND(SUM(M3:Q3),0)</f>
        <v>134</v>
      </c>
      <c r="S3" s="20"/>
      <c r="T3" s="21">
        <f t="shared" ref="T3:T16" si="5">R3*$M$1</f>
        <v>257280</v>
      </c>
      <c r="U3" s="26"/>
      <c r="V3" s="22" t="s">
        <v>12</v>
      </c>
      <c r="W3" s="33">
        <v>0.251</v>
      </c>
      <c r="X3" s="26"/>
      <c r="Y3" s="26"/>
      <c r="Z3" s="26"/>
      <c r="AA3" s="26"/>
      <c r="AB3" s="26"/>
      <c r="AC3" s="26"/>
      <c r="AD3" s="26"/>
      <c r="AE3" s="26"/>
    </row>
    <row r="4" spans="1:31" s="28" customFormat="1" x14ac:dyDescent="0.2">
      <c r="A4" s="30" t="s">
        <v>22</v>
      </c>
      <c r="B4" s="31">
        <v>2</v>
      </c>
      <c r="C4" s="31"/>
      <c r="D4" s="31">
        <v>1361</v>
      </c>
      <c r="E4" s="32" t="s">
        <v>22</v>
      </c>
      <c r="F4" s="15">
        <v>64456</v>
      </c>
      <c r="G4" s="15">
        <v>70201</v>
      </c>
      <c r="H4" s="15">
        <v>77771</v>
      </c>
      <c r="I4" s="16">
        <v>85267</v>
      </c>
      <c r="J4" s="16">
        <v>92824</v>
      </c>
      <c r="K4" s="17">
        <f t="shared" ref="K4" si="6">J4</f>
        <v>92824</v>
      </c>
      <c r="L4" s="40">
        <v>1920</v>
      </c>
      <c r="M4" s="18">
        <f t="shared" si="0"/>
        <v>48.345833333333331</v>
      </c>
      <c r="N4" s="19">
        <f t="shared" si="1"/>
        <v>12.134804166666667</v>
      </c>
      <c r="O4" s="19">
        <f t="shared" si="2"/>
        <v>4.8989316375000005</v>
      </c>
      <c r="P4" s="19">
        <f t="shared" si="3"/>
        <v>12.7490159818125</v>
      </c>
      <c r="Q4" s="19">
        <f t="shared" si="4"/>
        <v>7.1097012458574378</v>
      </c>
      <c r="R4" s="20">
        <f t="shared" ref="R4:R16" si="7">ROUND(SUM(M4:Q4),0)</f>
        <v>85</v>
      </c>
      <c r="S4" s="20"/>
      <c r="T4" s="21">
        <f t="shared" si="5"/>
        <v>163200</v>
      </c>
      <c r="U4" s="26"/>
      <c r="V4" s="22" t="s">
        <v>13</v>
      </c>
      <c r="W4" s="33">
        <v>8.1000000000000003E-2</v>
      </c>
      <c r="X4" s="26"/>
      <c r="Y4" s="26"/>
      <c r="Z4" s="26"/>
      <c r="AA4" s="26"/>
      <c r="AB4" s="26"/>
      <c r="AC4" s="26"/>
      <c r="AD4" s="26"/>
      <c r="AE4" s="26"/>
    </row>
    <row r="5" spans="1:31" s="28" customFormat="1" x14ac:dyDescent="0.2">
      <c r="A5" s="30" t="s">
        <v>23</v>
      </c>
      <c r="B5" s="31">
        <v>8</v>
      </c>
      <c r="C5" s="31"/>
      <c r="D5" s="31" t="s">
        <v>24</v>
      </c>
      <c r="E5" s="32" t="s">
        <v>25</v>
      </c>
      <c r="F5" s="15"/>
      <c r="G5" s="15"/>
      <c r="H5" s="15"/>
      <c r="I5" s="16"/>
      <c r="J5" s="16"/>
      <c r="K5" s="17">
        <f>J5*1.25</f>
        <v>0</v>
      </c>
      <c r="L5" s="40">
        <v>960</v>
      </c>
      <c r="M5" s="18">
        <f t="shared" si="0"/>
        <v>0</v>
      </c>
      <c r="N5" s="19">
        <f t="shared" si="1"/>
        <v>0</v>
      </c>
      <c r="O5" s="19">
        <f t="shared" si="2"/>
        <v>0</v>
      </c>
      <c r="P5" s="19">
        <f t="shared" si="3"/>
        <v>0</v>
      </c>
      <c r="Q5" s="19">
        <f t="shared" si="4"/>
        <v>0</v>
      </c>
      <c r="R5" s="20">
        <f t="shared" si="7"/>
        <v>0</v>
      </c>
      <c r="S5" s="20"/>
      <c r="T5" s="21">
        <f t="shared" si="5"/>
        <v>0</v>
      </c>
      <c r="U5" s="26"/>
      <c r="V5" s="22" t="s">
        <v>14</v>
      </c>
      <c r="W5" s="33">
        <v>0.20200000000000001</v>
      </c>
      <c r="X5" s="26"/>
      <c r="Y5" s="26"/>
      <c r="Z5" s="26"/>
      <c r="AA5" s="26"/>
      <c r="AB5" s="26"/>
      <c r="AC5" s="26"/>
      <c r="AD5" s="26"/>
      <c r="AE5" s="26"/>
    </row>
    <row r="6" spans="1:31" s="28" customFormat="1" x14ac:dyDescent="0.2">
      <c r="A6" s="30" t="s">
        <v>26</v>
      </c>
      <c r="B6" s="31">
        <v>5</v>
      </c>
      <c r="C6" s="31"/>
      <c r="D6" s="31" t="s">
        <v>27</v>
      </c>
      <c r="E6" s="32" t="s">
        <v>26</v>
      </c>
      <c r="F6" s="15"/>
      <c r="G6" s="15"/>
      <c r="H6" s="15"/>
      <c r="I6" s="16"/>
      <c r="J6" s="16"/>
      <c r="K6" s="17">
        <f>J6*1.25</f>
        <v>0</v>
      </c>
      <c r="L6" s="40"/>
      <c r="M6" s="18">
        <f t="shared" si="0"/>
        <v>0</v>
      </c>
      <c r="N6" s="19">
        <f t="shared" si="1"/>
        <v>0</v>
      </c>
      <c r="O6" s="19">
        <f t="shared" si="2"/>
        <v>0</v>
      </c>
      <c r="P6" s="19">
        <f t="shared" si="3"/>
        <v>0</v>
      </c>
      <c r="Q6" s="19">
        <f t="shared" si="4"/>
        <v>0</v>
      </c>
      <c r="R6" s="20">
        <f t="shared" si="7"/>
        <v>0</v>
      </c>
      <c r="S6" s="20"/>
      <c r="T6" s="21">
        <f t="shared" si="5"/>
        <v>0</v>
      </c>
      <c r="U6" s="26"/>
      <c r="V6" s="22" t="s">
        <v>28</v>
      </c>
      <c r="W6" s="33">
        <v>6.54E-2</v>
      </c>
      <c r="X6" s="26"/>
      <c r="Y6" s="26"/>
      <c r="Z6" s="26"/>
      <c r="AA6" s="26"/>
      <c r="AB6" s="26"/>
      <c r="AC6" s="26"/>
      <c r="AD6" s="26"/>
      <c r="AE6" s="26"/>
    </row>
    <row r="7" spans="1:31" s="28" customFormat="1" x14ac:dyDescent="0.2">
      <c r="A7" s="30" t="s">
        <v>29</v>
      </c>
      <c r="B7" s="31">
        <v>5</v>
      </c>
      <c r="C7" s="31"/>
      <c r="D7" s="31" t="s">
        <v>30</v>
      </c>
      <c r="E7" s="32" t="s">
        <v>29</v>
      </c>
      <c r="F7" s="15"/>
      <c r="G7" s="15"/>
      <c r="H7" s="15"/>
      <c r="I7" s="16"/>
      <c r="J7" s="16"/>
      <c r="K7" s="17">
        <f>J7*1.2</f>
        <v>0</v>
      </c>
      <c r="L7" s="40"/>
      <c r="M7" s="18">
        <f t="shared" si="0"/>
        <v>0</v>
      </c>
      <c r="N7" s="19">
        <f t="shared" si="1"/>
        <v>0</v>
      </c>
      <c r="O7" s="19">
        <f t="shared" si="2"/>
        <v>0</v>
      </c>
      <c r="P7" s="19">
        <f t="shared" si="3"/>
        <v>0</v>
      </c>
      <c r="Q7" s="19">
        <f t="shared" si="4"/>
        <v>0</v>
      </c>
      <c r="R7" s="20">
        <f t="shared" si="7"/>
        <v>0</v>
      </c>
      <c r="S7" s="20"/>
      <c r="T7" s="21">
        <f t="shared" si="5"/>
        <v>0</v>
      </c>
      <c r="U7" s="26"/>
      <c r="V7" s="22" t="s">
        <v>15</v>
      </c>
      <c r="W7" s="34">
        <v>0.06</v>
      </c>
      <c r="X7" s="26"/>
      <c r="Y7" s="26"/>
      <c r="Z7" s="26"/>
      <c r="AA7" s="26"/>
      <c r="AB7" s="26"/>
      <c r="AC7" s="26"/>
      <c r="AD7" s="26"/>
      <c r="AE7" s="26"/>
    </row>
    <row r="8" spans="1:31" s="28" customFormat="1" ht="17" thickBot="1" x14ac:dyDescent="0.25">
      <c r="A8" s="30" t="s">
        <v>31</v>
      </c>
      <c r="B8" s="31">
        <v>5</v>
      </c>
      <c r="C8" s="31"/>
      <c r="D8" s="31" t="s">
        <v>32</v>
      </c>
      <c r="E8" s="32" t="s">
        <v>31</v>
      </c>
      <c r="F8" s="15"/>
      <c r="G8" s="15"/>
      <c r="H8" s="15"/>
      <c r="I8" s="16"/>
      <c r="J8" s="16"/>
      <c r="K8" s="17">
        <f>J8*1.2</f>
        <v>0</v>
      </c>
      <c r="L8" s="40"/>
      <c r="M8" s="18">
        <f t="shared" si="0"/>
        <v>0</v>
      </c>
      <c r="N8" s="19">
        <f t="shared" si="1"/>
        <v>0</v>
      </c>
      <c r="O8" s="19">
        <f t="shared" si="2"/>
        <v>0</v>
      </c>
      <c r="P8" s="19">
        <f t="shared" si="3"/>
        <v>0</v>
      </c>
      <c r="Q8" s="19">
        <f t="shared" si="4"/>
        <v>0</v>
      </c>
      <c r="R8" s="20">
        <f t="shared" si="7"/>
        <v>0</v>
      </c>
      <c r="S8" s="20"/>
      <c r="T8" s="21">
        <f t="shared" si="5"/>
        <v>0</v>
      </c>
      <c r="U8" s="26"/>
      <c r="V8" s="35" t="s">
        <v>33</v>
      </c>
      <c r="W8" s="36">
        <v>0</v>
      </c>
      <c r="X8" s="26"/>
      <c r="Y8" s="26"/>
      <c r="Z8" s="26"/>
      <c r="AA8" s="26"/>
      <c r="AB8" s="26"/>
      <c r="AC8" s="26"/>
      <c r="AD8" s="26"/>
      <c r="AE8" s="26"/>
    </row>
    <row r="9" spans="1:31" s="28" customFormat="1" x14ac:dyDescent="0.2">
      <c r="A9" s="30" t="s">
        <v>34</v>
      </c>
      <c r="B9" s="31">
        <v>5</v>
      </c>
      <c r="C9" s="31"/>
      <c r="D9" s="31" t="s">
        <v>35</v>
      </c>
      <c r="E9" s="32" t="s">
        <v>36</v>
      </c>
      <c r="F9" s="15"/>
      <c r="G9" s="15"/>
      <c r="H9" s="15"/>
      <c r="I9" s="16"/>
      <c r="J9" s="15"/>
      <c r="K9" s="17">
        <f t="shared" ref="K9:K16" si="8">J9</f>
        <v>0</v>
      </c>
      <c r="L9" s="40"/>
      <c r="M9" s="18">
        <f t="shared" si="0"/>
        <v>0</v>
      </c>
      <c r="N9" s="19">
        <f t="shared" si="1"/>
        <v>0</v>
      </c>
      <c r="O9" s="19">
        <f t="shared" si="2"/>
        <v>0</v>
      </c>
      <c r="P9" s="19">
        <f t="shared" si="3"/>
        <v>0</v>
      </c>
      <c r="Q9" s="19">
        <f t="shared" si="4"/>
        <v>0</v>
      </c>
      <c r="R9" s="20">
        <f t="shared" si="7"/>
        <v>0</v>
      </c>
      <c r="S9" s="20"/>
      <c r="T9" s="21">
        <f t="shared" si="5"/>
        <v>0</v>
      </c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</row>
    <row r="10" spans="1:31" s="28" customFormat="1" x14ac:dyDescent="0.2">
      <c r="A10" s="30" t="s">
        <v>37</v>
      </c>
      <c r="B10" s="31">
        <v>5</v>
      </c>
      <c r="C10" s="31"/>
      <c r="D10" s="31" t="s">
        <v>38</v>
      </c>
      <c r="E10" s="32" t="s">
        <v>37</v>
      </c>
      <c r="F10" s="15"/>
      <c r="G10" s="15"/>
      <c r="H10" s="15"/>
      <c r="I10" s="16"/>
      <c r="J10" s="16"/>
      <c r="K10" s="17">
        <f>J10*1.2</f>
        <v>0</v>
      </c>
      <c r="L10" s="40"/>
      <c r="M10" s="18">
        <f t="shared" si="0"/>
        <v>0</v>
      </c>
      <c r="N10" s="19">
        <f t="shared" si="1"/>
        <v>0</v>
      </c>
      <c r="O10" s="19">
        <f t="shared" si="2"/>
        <v>0</v>
      </c>
      <c r="P10" s="19">
        <f t="shared" si="3"/>
        <v>0</v>
      </c>
      <c r="Q10" s="19">
        <f t="shared" si="4"/>
        <v>0</v>
      </c>
      <c r="R10" s="20">
        <f t="shared" si="7"/>
        <v>0</v>
      </c>
      <c r="S10" s="20"/>
      <c r="T10" s="21">
        <f t="shared" si="5"/>
        <v>0</v>
      </c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</row>
    <row r="11" spans="1:31" s="28" customFormat="1" x14ac:dyDescent="0.2">
      <c r="A11" s="30" t="s">
        <v>39</v>
      </c>
      <c r="B11" s="31">
        <v>8</v>
      </c>
      <c r="C11" s="31"/>
      <c r="D11" s="31" t="s">
        <v>40</v>
      </c>
      <c r="E11" s="32" t="s">
        <v>39</v>
      </c>
      <c r="F11" s="15"/>
      <c r="G11" s="15"/>
      <c r="H11" s="15"/>
      <c r="I11" s="16"/>
      <c r="J11" s="16"/>
      <c r="K11" s="17">
        <f t="shared" si="8"/>
        <v>0</v>
      </c>
      <c r="L11" s="40"/>
      <c r="M11" s="18">
        <f t="shared" si="0"/>
        <v>0</v>
      </c>
      <c r="N11" s="19">
        <f t="shared" si="1"/>
        <v>0</v>
      </c>
      <c r="O11" s="19">
        <f t="shared" si="2"/>
        <v>0</v>
      </c>
      <c r="P11" s="19">
        <f t="shared" si="3"/>
        <v>0</v>
      </c>
      <c r="Q11" s="19">
        <f t="shared" si="4"/>
        <v>0</v>
      </c>
      <c r="R11" s="20">
        <f t="shared" si="7"/>
        <v>0</v>
      </c>
      <c r="S11" s="20"/>
      <c r="T11" s="21">
        <f t="shared" si="5"/>
        <v>0</v>
      </c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</row>
    <row r="12" spans="1:31" s="28" customFormat="1" x14ac:dyDescent="0.2">
      <c r="A12" s="30" t="s">
        <v>41</v>
      </c>
      <c r="B12" s="31">
        <v>8</v>
      </c>
      <c r="C12" s="31"/>
      <c r="D12" s="31" t="s">
        <v>42</v>
      </c>
      <c r="E12" s="32" t="s">
        <v>43</v>
      </c>
      <c r="F12" s="15"/>
      <c r="G12" s="15"/>
      <c r="H12" s="15"/>
      <c r="I12" s="16"/>
      <c r="J12" s="16"/>
      <c r="K12" s="17">
        <f t="shared" si="8"/>
        <v>0</v>
      </c>
      <c r="L12" s="40"/>
      <c r="M12" s="18">
        <f t="shared" si="0"/>
        <v>0</v>
      </c>
      <c r="N12" s="19">
        <f t="shared" si="1"/>
        <v>0</v>
      </c>
      <c r="O12" s="19">
        <f t="shared" si="2"/>
        <v>0</v>
      </c>
      <c r="P12" s="19">
        <f t="shared" si="3"/>
        <v>0</v>
      </c>
      <c r="Q12" s="19">
        <f t="shared" si="4"/>
        <v>0</v>
      </c>
      <c r="R12" s="20">
        <f t="shared" si="7"/>
        <v>0</v>
      </c>
      <c r="S12" s="20"/>
      <c r="T12" s="21">
        <f t="shared" si="5"/>
        <v>0</v>
      </c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</row>
    <row r="13" spans="1:31" s="28" customFormat="1" x14ac:dyDescent="0.2">
      <c r="A13" s="30" t="s">
        <v>44</v>
      </c>
      <c r="B13" s="31">
        <v>5</v>
      </c>
      <c r="C13" s="31"/>
      <c r="D13" s="31" t="s">
        <v>45</v>
      </c>
      <c r="E13" s="32" t="s">
        <v>44</v>
      </c>
      <c r="F13" s="15"/>
      <c r="G13" s="15"/>
      <c r="H13" s="15"/>
      <c r="I13" s="16"/>
      <c r="J13" s="16"/>
      <c r="K13" s="17">
        <f t="shared" si="8"/>
        <v>0</v>
      </c>
      <c r="L13" s="40"/>
      <c r="M13" s="18">
        <f t="shared" si="0"/>
        <v>0</v>
      </c>
      <c r="N13" s="19">
        <f t="shared" si="1"/>
        <v>0</v>
      </c>
      <c r="O13" s="19">
        <f t="shared" si="2"/>
        <v>0</v>
      </c>
      <c r="P13" s="19">
        <f t="shared" si="3"/>
        <v>0</v>
      </c>
      <c r="Q13" s="19">
        <f t="shared" si="4"/>
        <v>0</v>
      </c>
      <c r="R13" s="20">
        <f t="shared" si="7"/>
        <v>0</v>
      </c>
      <c r="S13" s="20"/>
      <c r="T13" s="21">
        <f t="shared" si="5"/>
        <v>0</v>
      </c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</row>
    <row r="14" spans="1:31" s="28" customFormat="1" x14ac:dyDescent="0.2">
      <c r="A14" s="30" t="s">
        <v>46</v>
      </c>
      <c r="B14" s="31">
        <v>5</v>
      </c>
      <c r="C14" s="31"/>
      <c r="D14" s="31" t="s">
        <v>47</v>
      </c>
      <c r="E14" s="32" t="s">
        <v>48</v>
      </c>
      <c r="F14" s="15"/>
      <c r="G14" s="15"/>
      <c r="H14" s="15"/>
      <c r="I14" s="16"/>
      <c r="J14" s="16"/>
      <c r="K14" s="17">
        <f>J14*1.2</f>
        <v>0</v>
      </c>
      <c r="L14" s="40"/>
      <c r="M14" s="18">
        <f t="shared" si="0"/>
        <v>0</v>
      </c>
      <c r="N14" s="19">
        <f t="shared" si="1"/>
        <v>0</v>
      </c>
      <c r="O14" s="19">
        <f t="shared" si="2"/>
        <v>0</v>
      </c>
      <c r="P14" s="19">
        <f t="shared" si="3"/>
        <v>0</v>
      </c>
      <c r="Q14" s="19">
        <f t="shared" si="4"/>
        <v>0</v>
      </c>
      <c r="R14" s="20">
        <f t="shared" si="7"/>
        <v>0</v>
      </c>
      <c r="S14" s="20"/>
      <c r="T14" s="21">
        <f t="shared" si="5"/>
        <v>0</v>
      </c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</row>
    <row r="15" spans="1:31" s="28" customFormat="1" x14ac:dyDescent="0.2">
      <c r="A15" s="30" t="s">
        <v>49</v>
      </c>
      <c r="B15" s="31">
        <v>3</v>
      </c>
      <c r="C15" s="31"/>
      <c r="D15" s="31" t="s">
        <v>50</v>
      </c>
      <c r="E15" s="32" t="s">
        <v>51</v>
      </c>
      <c r="F15" s="15"/>
      <c r="G15" s="15"/>
      <c r="H15" s="15"/>
      <c r="I15" s="16"/>
      <c r="J15" s="16"/>
      <c r="K15" s="17">
        <f t="shared" si="8"/>
        <v>0</v>
      </c>
      <c r="L15" s="40"/>
      <c r="M15" s="18">
        <f t="shared" si="0"/>
        <v>0</v>
      </c>
      <c r="N15" s="19">
        <f t="shared" si="1"/>
        <v>0</v>
      </c>
      <c r="O15" s="19">
        <f t="shared" si="2"/>
        <v>0</v>
      </c>
      <c r="P15" s="19">
        <f t="shared" si="3"/>
        <v>0</v>
      </c>
      <c r="Q15" s="19">
        <f t="shared" si="4"/>
        <v>0</v>
      </c>
      <c r="R15" s="20">
        <f t="shared" si="7"/>
        <v>0</v>
      </c>
      <c r="S15" s="20"/>
      <c r="T15" s="21">
        <f t="shared" si="5"/>
        <v>0</v>
      </c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</row>
    <row r="16" spans="1:31" s="28" customFormat="1" x14ac:dyDescent="0.2">
      <c r="A16" s="30" t="s">
        <v>52</v>
      </c>
      <c r="B16" s="31">
        <v>5</v>
      </c>
      <c r="C16" s="31"/>
      <c r="D16" s="31" t="s">
        <v>53</v>
      </c>
      <c r="E16" s="32" t="s">
        <v>52</v>
      </c>
      <c r="F16" s="15"/>
      <c r="G16" s="15"/>
      <c r="H16" s="15"/>
      <c r="I16" s="16"/>
      <c r="J16" s="16"/>
      <c r="K16" s="17">
        <f t="shared" si="8"/>
        <v>0</v>
      </c>
      <c r="L16" s="40"/>
      <c r="M16" s="18">
        <f t="shared" si="0"/>
        <v>0</v>
      </c>
      <c r="N16" s="19">
        <f t="shared" si="1"/>
        <v>0</v>
      </c>
      <c r="O16" s="19">
        <f t="shared" si="2"/>
        <v>0</v>
      </c>
      <c r="P16" s="19">
        <f t="shared" si="3"/>
        <v>0</v>
      </c>
      <c r="Q16" s="19">
        <f t="shared" si="4"/>
        <v>0</v>
      </c>
      <c r="R16" s="20">
        <f t="shared" si="7"/>
        <v>0</v>
      </c>
      <c r="S16" s="20"/>
      <c r="T16" s="21">
        <f t="shared" si="5"/>
        <v>0</v>
      </c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</row>
    <row r="17" spans="1:31" s="28" customFormat="1" x14ac:dyDescent="0.2">
      <c r="A17" s="37"/>
      <c r="B17" s="37"/>
      <c r="C17" s="37"/>
      <c r="D17" s="37"/>
      <c r="E17" s="38"/>
      <c r="F17" s="37"/>
      <c r="G17" s="37"/>
      <c r="H17" s="37"/>
      <c r="I17" s="37"/>
      <c r="J17" s="37"/>
      <c r="K17" s="23">
        <f>AVERAGE(K3:K16)</f>
        <v>17081.071428571428</v>
      </c>
      <c r="L17" s="23"/>
      <c r="M17" s="23">
        <f>AVERAGE(M3:M16)</f>
        <v>8.8963913690476186</v>
      </c>
      <c r="N17" s="39"/>
      <c r="O17" s="39"/>
      <c r="P17" s="39"/>
      <c r="Q17" s="39"/>
      <c r="R17" s="24">
        <f>AVERAGE(R3:R16)</f>
        <v>15.642857142857142</v>
      </c>
      <c r="S17" s="24"/>
      <c r="T17" s="25">
        <f>AVERAGE(T3:T16)</f>
        <v>30034.285714285714</v>
      </c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</row>
  </sheetData>
  <mergeCells count="2">
    <mergeCell ref="F1:J1"/>
    <mergeCell ref="V2:W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Parikh</dc:creator>
  <cp:lastModifiedBy>Parth Parikh</cp:lastModifiedBy>
  <dcterms:created xsi:type="dcterms:W3CDTF">2025-11-18T02:27:26Z</dcterms:created>
  <dcterms:modified xsi:type="dcterms:W3CDTF">2025-11-18T03:24:15Z</dcterms:modified>
</cp:coreProperties>
</file>