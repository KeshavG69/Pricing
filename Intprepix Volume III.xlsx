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parthparikh/Desktop/"/>
    </mc:Choice>
  </mc:AlternateContent>
  <xr:revisionPtr revIDLastSave="0" documentId="13_ncr:1_{FFE150FF-DB9E-7149-8D88-552413FAE41E}" xr6:coauthVersionLast="47" xr6:coauthVersionMax="47" xr10:uidLastSave="{00000000-0000-0000-0000-000000000000}"/>
  <bookViews>
    <workbookView xWindow="-38400" yWindow="-2140" windowWidth="38400" windowHeight="19740" activeTab="1" xr2:uid="{00000000-000D-0000-FFFF-FFFF00000000}"/>
  </bookViews>
  <sheets>
    <sheet name="Cost Proposal Spreadsheet" sheetId="1" r:id="rId1"/>
    <sheet name="Subcontractor Fee_MH Rate Table" sheetId="2" r:id="rId2"/>
  </sheets>
  <externalReferences>
    <externalReference r:id="rId3"/>
  </externalReferences>
  <definedNames>
    <definedName name="FCOM">'[1]Gov''t Cost Summary Format'!$B$18</definedName>
    <definedName name="Fringe">'[1]Gov''t Cost Summary Format'!$A$12:$A$14</definedName>
    <definedName name="GandA">'[1]Gov''t Cost Summary Format'!$B$16</definedName>
    <definedName name="Labor_Cats">'[1]Gov''t Cost Summary Format'!$A$116:$A$140</definedName>
    <definedName name="Locations">'[1]Travel Data'!$A$3:$A$65</definedName>
    <definedName name="MandS">'[1]Gov''t Cost Summary Format'!$B$17</definedName>
    <definedName name="Overhead">'[1]Gov''t Cost Summary Format'!$A$6:$A$9</definedName>
    <definedName name="_xlnm.Print_Area" localSheetId="0">'Cost Proposal Spreadsheet'!$A$1:$T$192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F3" i="2" s="1"/>
  <c r="C4" i="2" s="1"/>
  <c r="N2" i="2"/>
  <c r="M2" i="2"/>
  <c r="K2" i="2"/>
  <c r="J2" i="2"/>
  <c r="J16" i="2" s="1"/>
  <c r="K16" i="2" s="1"/>
  <c r="L16" i="2" s="1"/>
  <c r="M16" i="2" s="1"/>
  <c r="N16" i="2" s="1"/>
  <c r="O16" i="2" s="1"/>
  <c r="E4" i="2" l="1"/>
  <c r="F4" i="2" s="1"/>
  <c r="C7" i="2" s="1"/>
  <c r="J13" i="2"/>
  <c r="K13" i="2" s="1"/>
  <c r="L13" i="2" s="1"/>
  <c r="M13" i="2" s="1"/>
  <c r="N13" i="2" s="1"/>
  <c r="O13" i="2" s="1"/>
  <c r="J5" i="2"/>
  <c r="K5" i="2" s="1"/>
  <c r="L5" i="2" s="1"/>
  <c r="M5" i="2" s="1"/>
  <c r="N5" i="2" s="1"/>
  <c r="O5" i="2" s="1"/>
  <c r="J15" i="2"/>
  <c r="K15" i="2" s="1"/>
  <c r="L15" i="2" s="1"/>
  <c r="M15" i="2" s="1"/>
  <c r="N15" i="2" s="1"/>
  <c r="O15" i="2" s="1"/>
  <c r="J10" i="2"/>
  <c r="K10" i="2" s="1"/>
  <c r="L10" i="2" s="1"/>
  <c r="M10" i="2" s="1"/>
  <c r="N10" i="2" s="1"/>
  <c r="O10" i="2" s="1"/>
  <c r="J17" i="2"/>
  <c r="K17" i="2" s="1"/>
  <c r="L17" i="2" s="1"/>
  <c r="M17" i="2" s="1"/>
  <c r="N17" i="2" s="1"/>
  <c r="O17" i="2" s="1"/>
  <c r="J8" i="2"/>
  <c r="K8" i="2" s="1"/>
  <c r="L8" i="2" s="1"/>
  <c r="M8" i="2" s="1"/>
  <c r="N8" i="2" s="1"/>
  <c r="O8" i="2" s="1"/>
  <c r="J7" i="2"/>
  <c r="K7" i="2" s="1"/>
  <c r="L7" i="2" s="1"/>
  <c r="M7" i="2" s="1"/>
  <c r="N7" i="2" s="1"/>
  <c r="O7" i="2" s="1"/>
  <c r="J12" i="2"/>
  <c r="K12" i="2" s="1"/>
  <c r="L12" i="2" s="1"/>
  <c r="M12" i="2" s="1"/>
  <c r="N12" i="2" s="1"/>
  <c r="O12" i="2" s="1"/>
  <c r="J4" i="2"/>
  <c r="K4" i="2" s="1"/>
  <c r="L4" i="2" s="1"/>
  <c r="M4" i="2" s="1"/>
  <c r="N4" i="2" s="1"/>
  <c r="O4" i="2" s="1"/>
  <c r="J14" i="2"/>
  <c r="K14" i="2" s="1"/>
  <c r="L14" i="2" s="1"/>
  <c r="M14" i="2" s="1"/>
  <c r="N14" i="2" s="1"/>
  <c r="O14" i="2" s="1"/>
  <c r="J9" i="2"/>
  <c r="K9" i="2" s="1"/>
  <c r="L9" i="2" s="1"/>
  <c r="M9" i="2" s="1"/>
  <c r="N9" i="2" s="1"/>
  <c r="O9" i="2" s="1"/>
  <c r="J11" i="2"/>
  <c r="K11" i="2" s="1"/>
  <c r="L11" i="2" s="1"/>
  <c r="M11" i="2" s="1"/>
  <c r="N11" i="2" s="1"/>
  <c r="O11" i="2" s="1"/>
  <c r="J6" i="2"/>
  <c r="K6" i="2" s="1"/>
  <c r="L6" i="2" s="1"/>
  <c r="M6" i="2" s="1"/>
  <c r="N6" i="2" s="1"/>
  <c r="O6" i="2" s="1"/>
  <c r="E7" i="2" l="1"/>
  <c r="F7" i="2" s="1"/>
  <c r="C8" i="2" s="1"/>
  <c r="E8" i="2" l="1"/>
  <c r="F8" i="2" s="1"/>
  <c r="O108" i="1" l="1"/>
  <c r="R108" i="1" s="1"/>
  <c r="L131" i="1"/>
  <c r="O131" i="1" s="1"/>
  <c r="R131" i="1" s="1"/>
  <c r="L130" i="1"/>
  <c r="O130" i="1" s="1"/>
  <c r="R130" i="1" s="1"/>
  <c r="L110" i="1"/>
  <c r="O110" i="1" s="1"/>
  <c r="R110" i="1" s="1"/>
  <c r="L111" i="1"/>
  <c r="O111" i="1" s="1"/>
  <c r="R111" i="1" s="1"/>
  <c r="L112" i="1"/>
  <c r="O112" i="1" s="1"/>
  <c r="R112" i="1" s="1"/>
  <c r="L113" i="1"/>
  <c r="O113" i="1" s="1"/>
  <c r="R113" i="1" s="1"/>
  <c r="L114" i="1"/>
  <c r="O114" i="1" s="1"/>
  <c r="R114" i="1" s="1"/>
  <c r="L108" i="1"/>
  <c r="I131" i="1"/>
  <c r="I130" i="1"/>
  <c r="I129" i="1"/>
  <c r="L129" i="1" s="1"/>
  <c r="O129" i="1" s="1"/>
  <c r="R129" i="1" s="1"/>
  <c r="I128" i="1"/>
  <c r="L128" i="1" s="1"/>
  <c r="O128" i="1" s="1"/>
  <c r="R128" i="1" s="1"/>
  <c r="I127" i="1"/>
  <c r="L127" i="1" s="1"/>
  <c r="O127" i="1" s="1"/>
  <c r="R127" i="1" s="1"/>
  <c r="I124" i="1"/>
  <c r="L124" i="1" s="1"/>
  <c r="O124" i="1" s="1"/>
  <c r="R124" i="1" s="1"/>
  <c r="I123" i="1"/>
  <c r="L123" i="1" s="1"/>
  <c r="O123" i="1" s="1"/>
  <c r="R123" i="1" s="1"/>
  <c r="I109" i="1"/>
  <c r="L109" i="1" s="1"/>
  <c r="O109" i="1" s="1"/>
  <c r="R109" i="1" s="1"/>
  <c r="I110" i="1"/>
  <c r="I111" i="1"/>
  <c r="I112" i="1"/>
  <c r="I113" i="1"/>
  <c r="I114" i="1"/>
  <c r="I115" i="1"/>
  <c r="L115" i="1" s="1"/>
  <c r="O115" i="1" s="1"/>
  <c r="R115" i="1" s="1"/>
  <c r="I116" i="1"/>
  <c r="L116" i="1" s="1"/>
  <c r="O116" i="1" s="1"/>
  <c r="R116" i="1" s="1"/>
  <c r="I117" i="1"/>
  <c r="L117" i="1" s="1"/>
  <c r="O117" i="1" s="1"/>
  <c r="R117" i="1" s="1"/>
  <c r="I118" i="1"/>
  <c r="L118" i="1" s="1"/>
  <c r="O118" i="1" s="1"/>
  <c r="R118" i="1" s="1"/>
  <c r="I119" i="1"/>
  <c r="L119" i="1" s="1"/>
  <c r="O119" i="1" s="1"/>
  <c r="R119" i="1" s="1"/>
  <c r="I120" i="1"/>
  <c r="L120" i="1" s="1"/>
  <c r="O120" i="1" s="1"/>
  <c r="R120" i="1" s="1"/>
  <c r="I108" i="1"/>
  <c r="L32" i="1"/>
  <c r="O32" i="1" s="1"/>
  <c r="R32" i="1" s="1"/>
  <c r="L33" i="1"/>
  <c r="O33" i="1" s="1"/>
  <c r="R33" i="1" s="1"/>
  <c r="L35" i="1"/>
  <c r="O35" i="1" s="1"/>
  <c r="R35" i="1" s="1"/>
  <c r="L43" i="1"/>
  <c r="O43" i="1" s="1"/>
  <c r="R43" i="1" s="1"/>
  <c r="L44" i="1"/>
  <c r="O44" i="1" s="1"/>
  <c r="R44" i="1" s="1"/>
  <c r="L45" i="1"/>
  <c r="O45" i="1" s="1"/>
  <c r="R45" i="1" s="1"/>
  <c r="L47" i="1"/>
  <c r="O47" i="1" s="1"/>
  <c r="R47" i="1" s="1"/>
  <c r="L56" i="1"/>
  <c r="O56" i="1" s="1"/>
  <c r="R56" i="1" s="1"/>
  <c r="L62" i="1"/>
  <c r="O62" i="1" s="1"/>
  <c r="R62" i="1" s="1"/>
  <c r="L69" i="1"/>
  <c r="O69" i="1" s="1"/>
  <c r="R69" i="1" s="1"/>
  <c r="L76" i="1"/>
  <c r="O76" i="1" s="1"/>
  <c r="R76" i="1" s="1"/>
  <c r="I12" i="1"/>
  <c r="L12" i="1" s="1"/>
  <c r="O12" i="1" s="1"/>
  <c r="R12" i="1" s="1"/>
  <c r="I13" i="1"/>
  <c r="L13" i="1" s="1"/>
  <c r="O13" i="1" s="1"/>
  <c r="R13" i="1" s="1"/>
  <c r="I14" i="1"/>
  <c r="L14" i="1" s="1"/>
  <c r="O14" i="1" s="1"/>
  <c r="R14" i="1" s="1"/>
  <c r="I15" i="1"/>
  <c r="L15" i="1" s="1"/>
  <c r="O15" i="1" s="1"/>
  <c r="R15" i="1" s="1"/>
  <c r="I16" i="1"/>
  <c r="L16" i="1" s="1"/>
  <c r="O16" i="1" s="1"/>
  <c r="R16" i="1" s="1"/>
  <c r="I17" i="1"/>
  <c r="L17" i="1" s="1"/>
  <c r="O17" i="1" s="1"/>
  <c r="R17" i="1" s="1"/>
  <c r="I18" i="1"/>
  <c r="L18" i="1" s="1"/>
  <c r="O18" i="1" s="1"/>
  <c r="R18" i="1" s="1"/>
  <c r="I19" i="1"/>
  <c r="L19" i="1" s="1"/>
  <c r="O19" i="1" s="1"/>
  <c r="R19" i="1" s="1"/>
  <c r="I20" i="1"/>
  <c r="L20" i="1" s="1"/>
  <c r="O20" i="1" s="1"/>
  <c r="R20" i="1" s="1"/>
  <c r="I21" i="1"/>
  <c r="L21" i="1" s="1"/>
  <c r="O21" i="1" s="1"/>
  <c r="R21" i="1" s="1"/>
  <c r="I22" i="1"/>
  <c r="L22" i="1" s="1"/>
  <c r="O22" i="1" s="1"/>
  <c r="R22" i="1" s="1"/>
  <c r="I23" i="1"/>
  <c r="L23" i="1" s="1"/>
  <c r="O23" i="1" s="1"/>
  <c r="R23" i="1" s="1"/>
  <c r="I24" i="1"/>
  <c r="L24" i="1" s="1"/>
  <c r="O24" i="1" s="1"/>
  <c r="R24" i="1" s="1"/>
  <c r="I25" i="1"/>
  <c r="L25" i="1" s="1"/>
  <c r="O25" i="1" s="1"/>
  <c r="R25" i="1" s="1"/>
  <c r="I26" i="1"/>
  <c r="L26" i="1" s="1"/>
  <c r="O26" i="1" s="1"/>
  <c r="R26" i="1" s="1"/>
  <c r="I27" i="1"/>
  <c r="L27" i="1" s="1"/>
  <c r="O27" i="1" s="1"/>
  <c r="R27" i="1" s="1"/>
  <c r="I28" i="1"/>
  <c r="L28" i="1" s="1"/>
  <c r="O28" i="1" s="1"/>
  <c r="R28" i="1" s="1"/>
  <c r="I29" i="1"/>
  <c r="L29" i="1" s="1"/>
  <c r="O29" i="1" s="1"/>
  <c r="R29" i="1" s="1"/>
  <c r="I30" i="1"/>
  <c r="L30" i="1" s="1"/>
  <c r="O30" i="1" s="1"/>
  <c r="R30" i="1" s="1"/>
  <c r="I31" i="1"/>
  <c r="L31" i="1" s="1"/>
  <c r="O31" i="1" s="1"/>
  <c r="R31" i="1" s="1"/>
  <c r="I32" i="1"/>
  <c r="I33" i="1"/>
  <c r="I34" i="1"/>
  <c r="L34" i="1" s="1"/>
  <c r="O34" i="1" s="1"/>
  <c r="R34" i="1" s="1"/>
  <c r="I35" i="1"/>
  <c r="I36" i="1"/>
  <c r="L36" i="1" s="1"/>
  <c r="O36" i="1" s="1"/>
  <c r="R36" i="1" s="1"/>
  <c r="I37" i="1"/>
  <c r="L37" i="1" s="1"/>
  <c r="O37" i="1" s="1"/>
  <c r="R37" i="1" s="1"/>
  <c r="I38" i="1"/>
  <c r="L38" i="1" s="1"/>
  <c r="O38" i="1" s="1"/>
  <c r="R38" i="1" s="1"/>
  <c r="I39" i="1"/>
  <c r="L39" i="1" s="1"/>
  <c r="O39" i="1" s="1"/>
  <c r="R39" i="1" s="1"/>
  <c r="I40" i="1"/>
  <c r="L40" i="1" s="1"/>
  <c r="O40" i="1" s="1"/>
  <c r="R40" i="1" s="1"/>
  <c r="I41" i="1"/>
  <c r="L41" i="1" s="1"/>
  <c r="O41" i="1" s="1"/>
  <c r="R41" i="1" s="1"/>
  <c r="I42" i="1"/>
  <c r="L42" i="1" s="1"/>
  <c r="O42" i="1" s="1"/>
  <c r="R42" i="1" s="1"/>
  <c r="I43" i="1"/>
  <c r="I44" i="1"/>
  <c r="I45" i="1"/>
  <c r="I46" i="1"/>
  <c r="L46" i="1" s="1"/>
  <c r="O46" i="1" s="1"/>
  <c r="R46" i="1" s="1"/>
  <c r="I47" i="1"/>
  <c r="I48" i="1"/>
  <c r="L48" i="1" s="1"/>
  <c r="O48" i="1" s="1"/>
  <c r="R48" i="1" s="1"/>
  <c r="I49" i="1"/>
  <c r="L49" i="1" s="1"/>
  <c r="O49" i="1" s="1"/>
  <c r="R49" i="1" s="1"/>
  <c r="I50" i="1"/>
  <c r="L50" i="1" s="1"/>
  <c r="O50" i="1" s="1"/>
  <c r="R50" i="1" s="1"/>
  <c r="I51" i="1"/>
  <c r="L51" i="1" s="1"/>
  <c r="O51" i="1" s="1"/>
  <c r="R51" i="1" s="1"/>
  <c r="I52" i="1"/>
  <c r="L52" i="1" s="1"/>
  <c r="O52" i="1" s="1"/>
  <c r="R52" i="1" s="1"/>
  <c r="I53" i="1"/>
  <c r="L53" i="1" s="1"/>
  <c r="O53" i="1" s="1"/>
  <c r="R53" i="1" s="1"/>
  <c r="I54" i="1"/>
  <c r="L54" i="1" s="1"/>
  <c r="O54" i="1" s="1"/>
  <c r="R54" i="1" s="1"/>
  <c r="I55" i="1"/>
  <c r="L55" i="1" s="1"/>
  <c r="O55" i="1" s="1"/>
  <c r="R55" i="1" s="1"/>
  <c r="I56" i="1"/>
  <c r="I57" i="1"/>
  <c r="L57" i="1" s="1"/>
  <c r="O57" i="1" s="1"/>
  <c r="R57" i="1" s="1"/>
  <c r="I58" i="1"/>
  <c r="L58" i="1" s="1"/>
  <c r="O58" i="1" s="1"/>
  <c r="R58" i="1" s="1"/>
  <c r="I59" i="1"/>
  <c r="L59" i="1" s="1"/>
  <c r="O59" i="1" s="1"/>
  <c r="R59" i="1" s="1"/>
  <c r="I60" i="1"/>
  <c r="L60" i="1" s="1"/>
  <c r="O60" i="1" s="1"/>
  <c r="R60" i="1" s="1"/>
  <c r="I61" i="1"/>
  <c r="L61" i="1" s="1"/>
  <c r="O61" i="1" s="1"/>
  <c r="R61" i="1" s="1"/>
  <c r="I62" i="1"/>
  <c r="I63" i="1"/>
  <c r="L63" i="1" s="1"/>
  <c r="O63" i="1" s="1"/>
  <c r="R63" i="1" s="1"/>
  <c r="I64" i="1"/>
  <c r="L64" i="1" s="1"/>
  <c r="O64" i="1" s="1"/>
  <c r="R64" i="1" s="1"/>
  <c r="I65" i="1"/>
  <c r="L65" i="1" s="1"/>
  <c r="O65" i="1" s="1"/>
  <c r="R65" i="1" s="1"/>
  <c r="I66" i="1"/>
  <c r="L66" i="1" s="1"/>
  <c r="O66" i="1" s="1"/>
  <c r="R66" i="1" s="1"/>
  <c r="I67" i="1"/>
  <c r="L67" i="1" s="1"/>
  <c r="O67" i="1" s="1"/>
  <c r="R67" i="1" s="1"/>
  <c r="I68" i="1"/>
  <c r="L68" i="1" s="1"/>
  <c r="O68" i="1" s="1"/>
  <c r="R68" i="1" s="1"/>
  <c r="I69" i="1"/>
  <c r="I70" i="1"/>
  <c r="L70" i="1" s="1"/>
  <c r="O70" i="1" s="1"/>
  <c r="R70" i="1" s="1"/>
  <c r="I71" i="1"/>
  <c r="L71" i="1" s="1"/>
  <c r="O71" i="1" s="1"/>
  <c r="R71" i="1" s="1"/>
  <c r="I72" i="1"/>
  <c r="L72" i="1" s="1"/>
  <c r="O72" i="1" s="1"/>
  <c r="R72" i="1" s="1"/>
  <c r="I73" i="1"/>
  <c r="L73" i="1" s="1"/>
  <c r="O73" i="1" s="1"/>
  <c r="R73" i="1" s="1"/>
  <c r="I74" i="1"/>
  <c r="L74" i="1" s="1"/>
  <c r="O74" i="1" s="1"/>
  <c r="R74" i="1" s="1"/>
  <c r="I75" i="1"/>
  <c r="L75" i="1" s="1"/>
  <c r="O75" i="1" s="1"/>
  <c r="R75" i="1" s="1"/>
  <c r="I76" i="1"/>
  <c r="I77" i="1"/>
  <c r="L77" i="1" s="1"/>
  <c r="O77" i="1" s="1"/>
  <c r="R77" i="1" s="1"/>
  <c r="I78" i="1"/>
  <c r="L78" i="1" s="1"/>
  <c r="O78" i="1" s="1"/>
  <c r="R78" i="1" s="1"/>
  <c r="I79" i="1"/>
  <c r="L79" i="1" s="1"/>
  <c r="O79" i="1" s="1"/>
  <c r="R79" i="1" s="1"/>
  <c r="I80" i="1"/>
  <c r="L80" i="1" s="1"/>
  <c r="O80" i="1" s="1"/>
  <c r="R80" i="1" s="1"/>
  <c r="I81" i="1"/>
  <c r="L81" i="1" s="1"/>
  <c r="O81" i="1" s="1"/>
  <c r="R81" i="1" s="1"/>
  <c r="I82" i="1"/>
  <c r="L82" i="1" s="1"/>
  <c r="O82" i="1" s="1"/>
  <c r="R82" i="1" s="1"/>
  <c r="I83" i="1"/>
  <c r="L83" i="1" s="1"/>
  <c r="O83" i="1" s="1"/>
  <c r="R83" i="1" s="1"/>
  <c r="I84" i="1"/>
  <c r="L84" i="1" s="1"/>
  <c r="O84" i="1" s="1"/>
  <c r="R84" i="1" s="1"/>
  <c r="I85" i="1"/>
  <c r="L85" i="1" s="1"/>
  <c r="O85" i="1" s="1"/>
  <c r="R85" i="1" s="1"/>
  <c r="I86" i="1"/>
  <c r="L86" i="1" s="1"/>
  <c r="O86" i="1" s="1"/>
  <c r="R86" i="1" s="1"/>
  <c r="I87" i="1"/>
  <c r="L87" i="1" s="1"/>
  <c r="O87" i="1" s="1"/>
  <c r="R87" i="1" s="1"/>
  <c r="I88" i="1"/>
  <c r="L88" i="1" s="1"/>
  <c r="O88" i="1" s="1"/>
  <c r="R88" i="1" s="1"/>
  <c r="I89" i="1"/>
  <c r="L89" i="1" s="1"/>
  <c r="O89" i="1" s="1"/>
  <c r="R89" i="1" s="1"/>
  <c r="I90" i="1"/>
  <c r="L90" i="1" s="1"/>
  <c r="O90" i="1" s="1"/>
  <c r="R90" i="1" s="1"/>
  <c r="I91" i="1"/>
  <c r="L91" i="1" s="1"/>
  <c r="O91" i="1" s="1"/>
  <c r="R91" i="1" s="1"/>
  <c r="I92" i="1"/>
  <c r="L92" i="1" s="1"/>
  <c r="O92" i="1" s="1"/>
  <c r="R92" i="1" s="1"/>
  <c r="I93" i="1"/>
  <c r="L93" i="1" s="1"/>
  <c r="O93" i="1" s="1"/>
  <c r="R93" i="1" s="1"/>
  <c r="I94" i="1"/>
  <c r="L94" i="1" s="1"/>
  <c r="O94" i="1" s="1"/>
  <c r="R94" i="1" s="1"/>
  <c r="I11" i="1"/>
  <c r="L11" i="1" s="1"/>
  <c r="O11" i="1" s="1"/>
  <c r="R11" i="1" s="1"/>
  <c r="D175" i="1" l="1"/>
  <c r="S175" i="1"/>
  <c r="P175" i="1"/>
  <c r="M175" i="1"/>
  <c r="J175" i="1"/>
  <c r="G175" i="1"/>
  <c r="R172" i="1" l="1"/>
  <c r="O172" i="1"/>
  <c r="L172" i="1"/>
  <c r="I172" i="1"/>
  <c r="F172" i="1"/>
  <c r="D171" i="1" l="1"/>
  <c r="S166" i="1" l="1"/>
  <c r="T166" i="1" s="1"/>
  <c r="T167" i="1" s="1"/>
  <c r="P166" i="1"/>
  <c r="Q166" i="1" s="1"/>
  <c r="Q167" i="1" s="1"/>
  <c r="M166" i="1"/>
  <c r="N166" i="1" s="1"/>
  <c r="N167" i="1" s="1"/>
  <c r="J166" i="1"/>
  <c r="K166" i="1" s="1"/>
  <c r="K167" i="1" s="1"/>
  <c r="G166" i="1"/>
  <c r="H166" i="1" s="1"/>
  <c r="H167" i="1" s="1"/>
  <c r="E165" i="1"/>
  <c r="E151" i="1"/>
  <c r="E150" i="1"/>
  <c r="S145" i="1"/>
  <c r="P145" i="1"/>
  <c r="M145" i="1"/>
  <c r="J145" i="1"/>
  <c r="G145" i="1"/>
  <c r="T144" i="1"/>
  <c r="Q144" i="1"/>
  <c r="N144" i="1"/>
  <c r="K144" i="1"/>
  <c r="H144" i="1"/>
  <c r="D144" i="1"/>
  <c r="T143" i="1"/>
  <c r="Q143" i="1"/>
  <c r="N143" i="1"/>
  <c r="K143" i="1"/>
  <c r="H143" i="1"/>
  <c r="D143" i="1"/>
  <c r="T142" i="1"/>
  <c r="Q142" i="1"/>
  <c r="N142" i="1"/>
  <c r="K142" i="1"/>
  <c r="H142" i="1"/>
  <c r="D142" i="1"/>
  <c r="T141" i="1"/>
  <c r="Q141" i="1"/>
  <c r="N141" i="1"/>
  <c r="K141" i="1"/>
  <c r="H141" i="1"/>
  <c r="D141" i="1"/>
  <c r="T140" i="1"/>
  <c r="Q140" i="1"/>
  <c r="N140" i="1"/>
  <c r="K140" i="1"/>
  <c r="H140" i="1"/>
  <c r="D140" i="1"/>
  <c r="T139" i="1"/>
  <c r="Q139" i="1"/>
  <c r="N139" i="1"/>
  <c r="K139" i="1"/>
  <c r="H139" i="1"/>
  <c r="D139" i="1"/>
  <c r="T138" i="1"/>
  <c r="Q138" i="1"/>
  <c r="N138" i="1"/>
  <c r="K138" i="1"/>
  <c r="H138" i="1"/>
  <c r="D138" i="1"/>
  <c r="T137" i="1"/>
  <c r="Q137" i="1"/>
  <c r="N137" i="1"/>
  <c r="K137" i="1"/>
  <c r="H137" i="1"/>
  <c r="D137" i="1"/>
  <c r="T136" i="1"/>
  <c r="Q136" i="1"/>
  <c r="N136" i="1"/>
  <c r="K136" i="1"/>
  <c r="H136" i="1"/>
  <c r="D136" i="1"/>
  <c r="T135" i="1"/>
  <c r="Q135" i="1"/>
  <c r="N135" i="1"/>
  <c r="K135" i="1"/>
  <c r="H135" i="1"/>
  <c r="D135" i="1"/>
  <c r="T134" i="1"/>
  <c r="Q134" i="1"/>
  <c r="N134" i="1"/>
  <c r="K134" i="1"/>
  <c r="H134" i="1"/>
  <c r="D134" i="1"/>
  <c r="N145" i="1" l="1"/>
  <c r="K145" i="1"/>
  <c r="E166" i="1"/>
  <c r="E167" i="1"/>
  <c r="H145" i="1"/>
  <c r="T145" i="1"/>
  <c r="Q145" i="1"/>
  <c r="D145" i="1"/>
  <c r="E141" i="1"/>
  <c r="E139" i="1"/>
  <c r="E137" i="1"/>
  <c r="E134" i="1"/>
  <c r="E136" i="1"/>
  <c r="E142" i="1"/>
  <c r="E138" i="1"/>
  <c r="E144" i="1"/>
  <c r="E140" i="1"/>
  <c r="E143" i="1"/>
  <c r="E135" i="1"/>
  <c r="E145" i="1" l="1"/>
  <c r="S132" i="1"/>
  <c r="P132" i="1"/>
  <c r="M132" i="1"/>
  <c r="J132" i="1"/>
  <c r="G132" i="1"/>
  <c r="T131" i="1"/>
  <c r="Q131" i="1"/>
  <c r="N131" i="1"/>
  <c r="K131" i="1"/>
  <c r="H131" i="1"/>
  <c r="D131" i="1"/>
  <c r="T130" i="1"/>
  <c r="Q130" i="1"/>
  <c r="N130" i="1"/>
  <c r="K130" i="1"/>
  <c r="H130" i="1"/>
  <c r="D130" i="1"/>
  <c r="T129" i="1"/>
  <c r="Q129" i="1"/>
  <c r="N129" i="1"/>
  <c r="K129" i="1"/>
  <c r="H129" i="1"/>
  <c r="D129" i="1"/>
  <c r="T128" i="1"/>
  <c r="Q128" i="1"/>
  <c r="N128" i="1"/>
  <c r="K128" i="1"/>
  <c r="H128" i="1"/>
  <c r="D128" i="1"/>
  <c r="T127" i="1"/>
  <c r="Q127" i="1"/>
  <c r="N127" i="1"/>
  <c r="K127" i="1"/>
  <c r="H127" i="1"/>
  <c r="D127" i="1"/>
  <c r="N132" i="1" l="1"/>
  <c r="T132" i="1"/>
  <c r="Q132" i="1"/>
  <c r="E129" i="1"/>
  <c r="K132" i="1"/>
  <c r="E128" i="1"/>
  <c r="H132" i="1"/>
  <c r="D132" i="1"/>
  <c r="E127" i="1"/>
  <c r="E131" i="1"/>
  <c r="E130" i="1"/>
  <c r="E132" i="1" l="1"/>
  <c r="S125" i="1"/>
  <c r="P125" i="1"/>
  <c r="M125" i="1"/>
  <c r="J125" i="1"/>
  <c r="S121" i="1"/>
  <c r="S147" i="1" s="1"/>
  <c r="P121" i="1"/>
  <c r="P147" i="1" s="1"/>
  <c r="M121" i="1"/>
  <c r="M147" i="1" s="1"/>
  <c r="J121" i="1"/>
  <c r="J147" i="1" s="1"/>
  <c r="G121" i="1"/>
  <c r="G125" i="1"/>
  <c r="T124" i="1"/>
  <c r="Q124" i="1"/>
  <c r="N124" i="1"/>
  <c r="K124" i="1"/>
  <c r="H124" i="1"/>
  <c r="D124" i="1"/>
  <c r="T123" i="1"/>
  <c r="Q123" i="1"/>
  <c r="N123" i="1"/>
  <c r="K123" i="1"/>
  <c r="H123" i="1"/>
  <c r="D123" i="1"/>
  <c r="K125" i="1" l="1"/>
  <c r="T125" i="1"/>
  <c r="G147" i="1"/>
  <c r="D147" i="1" s="1"/>
  <c r="H125" i="1"/>
  <c r="N125" i="1"/>
  <c r="Q125" i="1"/>
  <c r="E124" i="1"/>
  <c r="D125" i="1"/>
  <c r="E123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E125" i="1" l="1"/>
  <c r="H121" i="1"/>
  <c r="H147" i="1" s="1"/>
  <c r="T121" i="1"/>
  <c r="T147" i="1" s="1"/>
  <c r="Q121" i="1"/>
  <c r="Q147" i="1" s="1"/>
  <c r="E111" i="1"/>
  <c r="N121" i="1"/>
  <c r="N147" i="1" s="1"/>
  <c r="K121" i="1"/>
  <c r="K147" i="1" s="1"/>
  <c r="E112" i="1"/>
  <c r="E120" i="1"/>
  <c r="E115" i="1"/>
  <c r="E116" i="1"/>
  <c r="D121" i="1"/>
  <c r="E110" i="1"/>
  <c r="E118" i="1"/>
  <c r="E119" i="1"/>
  <c r="E108" i="1"/>
  <c r="E117" i="1"/>
  <c r="E109" i="1"/>
  <c r="E114" i="1"/>
  <c r="E113" i="1"/>
  <c r="P149" i="1" l="1"/>
  <c r="Q149" i="1" s="1"/>
  <c r="Q152" i="1" s="1"/>
  <c r="Q153" i="1" s="1"/>
  <c r="P159" i="1" s="1"/>
  <c r="Q159" i="1" s="1"/>
  <c r="J149" i="1"/>
  <c r="K149" i="1" s="1"/>
  <c r="K152" i="1" s="1"/>
  <c r="K153" i="1" s="1"/>
  <c r="J159" i="1" s="1"/>
  <c r="K159" i="1" s="1"/>
  <c r="S149" i="1"/>
  <c r="T149" i="1" s="1"/>
  <c r="T152" i="1" s="1"/>
  <c r="T153" i="1" s="1"/>
  <c r="S159" i="1" s="1"/>
  <c r="T159" i="1" s="1"/>
  <c r="M149" i="1"/>
  <c r="N149" i="1" s="1"/>
  <c r="N152" i="1" s="1"/>
  <c r="N153" i="1" s="1"/>
  <c r="M159" i="1" s="1"/>
  <c r="N159" i="1" s="1"/>
  <c r="G149" i="1"/>
  <c r="H149" i="1" s="1"/>
  <c r="E147" i="1"/>
  <c r="C180" i="1" s="1"/>
  <c r="E121" i="1"/>
  <c r="E102" i="1"/>
  <c r="S95" i="1"/>
  <c r="S169" i="1" s="1"/>
  <c r="P95" i="1"/>
  <c r="P169" i="1" s="1"/>
  <c r="M95" i="1"/>
  <c r="M169" i="1" s="1"/>
  <c r="J95" i="1"/>
  <c r="J169" i="1" s="1"/>
  <c r="G95" i="1"/>
  <c r="G169" i="1" s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11" i="1"/>
  <c r="D169" i="1" l="1"/>
  <c r="H152" i="1"/>
  <c r="E149" i="1"/>
  <c r="E94" i="1"/>
  <c r="E86" i="1"/>
  <c r="E78" i="1"/>
  <c r="E70" i="1"/>
  <c r="E62" i="1"/>
  <c r="E54" i="1"/>
  <c r="E46" i="1"/>
  <c r="E38" i="1"/>
  <c r="E30" i="1"/>
  <c r="E14" i="1"/>
  <c r="E24" i="1"/>
  <c r="E40" i="1"/>
  <c r="E22" i="1"/>
  <c r="E16" i="1"/>
  <c r="E90" i="1"/>
  <c r="E82" i="1"/>
  <c r="E74" i="1"/>
  <c r="E66" i="1"/>
  <c r="E58" i="1"/>
  <c r="E50" i="1"/>
  <c r="E42" i="1"/>
  <c r="E34" i="1"/>
  <c r="E26" i="1"/>
  <c r="E18" i="1"/>
  <c r="E32" i="1"/>
  <c r="E91" i="1"/>
  <c r="E83" i="1"/>
  <c r="E75" i="1"/>
  <c r="E67" i="1"/>
  <c r="E59" i="1"/>
  <c r="E51" i="1"/>
  <c r="E43" i="1"/>
  <c r="E35" i="1"/>
  <c r="E27" i="1"/>
  <c r="E19" i="1"/>
  <c r="K95" i="1"/>
  <c r="J98" i="1" s="1"/>
  <c r="K98" i="1" s="1"/>
  <c r="E79" i="1"/>
  <c r="E87" i="1"/>
  <c r="E48" i="1"/>
  <c r="E56" i="1"/>
  <c r="E64" i="1"/>
  <c r="E72" i="1"/>
  <c r="E80" i="1"/>
  <c r="E88" i="1"/>
  <c r="N95" i="1"/>
  <c r="M98" i="1" s="1"/>
  <c r="N98" i="1" s="1"/>
  <c r="E93" i="1"/>
  <c r="E77" i="1"/>
  <c r="E45" i="1"/>
  <c r="E92" i="1"/>
  <c r="E84" i="1"/>
  <c r="E76" i="1"/>
  <c r="E68" i="1"/>
  <c r="E60" i="1"/>
  <c r="E52" i="1"/>
  <c r="E44" i="1"/>
  <c r="E36" i="1"/>
  <c r="E28" i="1"/>
  <c r="E20" i="1"/>
  <c r="E12" i="1"/>
  <c r="E89" i="1"/>
  <c r="E81" i="1"/>
  <c r="E73" i="1"/>
  <c r="E65" i="1"/>
  <c r="E57" i="1"/>
  <c r="E49" i="1"/>
  <c r="E41" i="1"/>
  <c r="E33" i="1"/>
  <c r="E25" i="1"/>
  <c r="E17" i="1"/>
  <c r="T95" i="1"/>
  <c r="S98" i="1" s="1"/>
  <c r="T98" i="1" s="1"/>
  <c r="Q95" i="1"/>
  <c r="P98" i="1" s="1"/>
  <c r="Q98" i="1" s="1"/>
  <c r="H95" i="1"/>
  <c r="E85" i="1"/>
  <c r="E69" i="1"/>
  <c r="E61" i="1"/>
  <c r="E53" i="1"/>
  <c r="E37" i="1"/>
  <c r="E29" i="1"/>
  <c r="E21" i="1"/>
  <c r="E13" i="1"/>
  <c r="E15" i="1"/>
  <c r="E23" i="1"/>
  <c r="E31" i="1"/>
  <c r="E39" i="1"/>
  <c r="E47" i="1"/>
  <c r="E55" i="1"/>
  <c r="E63" i="1"/>
  <c r="E71" i="1"/>
  <c r="E11" i="1"/>
  <c r="D95" i="1"/>
  <c r="J97" i="1" l="1"/>
  <c r="K97" i="1" s="1"/>
  <c r="J99" i="1" s="1"/>
  <c r="K99" i="1" s="1"/>
  <c r="E152" i="1"/>
  <c r="C181" i="1" s="1"/>
  <c r="H153" i="1"/>
  <c r="M97" i="1"/>
  <c r="N97" i="1" s="1"/>
  <c r="M99" i="1" s="1"/>
  <c r="N99" i="1" s="1"/>
  <c r="N100" i="1" s="1"/>
  <c r="N101" i="1" s="1"/>
  <c r="N103" i="1" s="1"/>
  <c r="E95" i="1"/>
  <c r="S97" i="1"/>
  <c r="T97" i="1" s="1"/>
  <c r="S99" i="1" s="1"/>
  <c r="T99" i="1" s="1"/>
  <c r="P97" i="1"/>
  <c r="Q97" i="1" s="1"/>
  <c r="P99" i="1" s="1"/>
  <c r="Q99" i="1" s="1"/>
  <c r="Q100" i="1" s="1"/>
  <c r="Q101" i="1" s="1"/>
  <c r="Q103" i="1" s="1"/>
  <c r="G98" i="1"/>
  <c r="H98" i="1" s="1"/>
  <c r="G97" i="1" s="1"/>
  <c r="H97" i="1" s="1"/>
  <c r="E97" i="1" l="1"/>
  <c r="M158" i="1"/>
  <c r="N158" i="1" s="1"/>
  <c r="N160" i="1" s="1"/>
  <c r="N155" i="1"/>
  <c r="E153" i="1"/>
  <c r="G159" i="1"/>
  <c r="H159" i="1" s="1"/>
  <c r="E159" i="1" s="1"/>
  <c r="C182" i="1" s="1"/>
  <c r="C183" i="1" s="1"/>
  <c r="D183" i="1" s="1"/>
  <c r="P158" i="1"/>
  <c r="Q158" i="1" s="1"/>
  <c r="Q160" i="1" s="1"/>
  <c r="Q155" i="1"/>
  <c r="T100" i="1"/>
  <c r="T101" i="1" s="1"/>
  <c r="T103" i="1" s="1"/>
  <c r="G99" i="1"/>
  <c r="H99" i="1" s="1"/>
  <c r="H100" i="1" s="1"/>
  <c r="H101" i="1" s="1"/>
  <c r="H103" i="1" s="1"/>
  <c r="G158" i="1" s="1"/>
  <c r="H158" i="1" s="1"/>
  <c r="E98" i="1"/>
  <c r="K100" i="1"/>
  <c r="O171" i="1" l="1"/>
  <c r="Q171" i="1" s="1"/>
  <c r="P172" i="1" s="1"/>
  <c r="Q172" i="1" s="1"/>
  <c r="Q173" i="1" s="1"/>
  <c r="Q162" i="1"/>
  <c r="Q169" i="1" s="1"/>
  <c r="H155" i="1"/>
  <c r="H160" i="1"/>
  <c r="L171" i="1"/>
  <c r="N171" i="1" s="1"/>
  <c r="M172" i="1" s="1"/>
  <c r="N172" i="1" s="1"/>
  <c r="N173" i="1" s="1"/>
  <c r="N162" i="1"/>
  <c r="N169" i="1" s="1"/>
  <c r="S158" i="1"/>
  <c r="T158" i="1" s="1"/>
  <c r="T160" i="1" s="1"/>
  <c r="T155" i="1"/>
  <c r="E99" i="1"/>
  <c r="K101" i="1"/>
  <c r="E100" i="1"/>
  <c r="Q175" i="1" l="1"/>
  <c r="N175" i="1"/>
  <c r="F171" i="1"/>
  <c r="H171" i="1" s="1"/>
  <c r="H162" i="1"/>
  <c r="R171" i="1"/>
  <c r="T171" i="1" s="1"/>
  <c r="S172" i="1" s="1"/>
  <c r="T172" i="1" s="1"/>
  <c r="T173" i="1" s="1"/>
  <c r="T162" i="1"/>
  <c r="T169" i="1" s="1"/>
  <c r="K103" i="1"/>
  <c r="E101" i="1"/>
  <c r="T175" i="1" l="1"/>
  <c r="E103" i="1"/>
  <c r="C188" i="1" s="1"/>
  <c r="J158" i="1"/>
  <c r="K158" i="1" s="1"/>
  <c r="K155" i="1"/>
  <c r="H169" i="1"/>
  <c r="G172" i="1"/>
  <c r="H172" i="1" s="1"/>
  <c r="H173" i="1" l="1"/>
  <c r="H175" i="1" s="1"/>
  <c r="I171" i="1"/>
  <c r="K171" i="1" s="1"/>
  <c r="E155" i="1"/>
  <c r="K160" i="1"/>
  <c r="E160" i="1" s="1"/>
  <c r="E158" i="1"/>
  <c r="C189" i="1" s="1"/>
  <c r="D189" i="1" s="1"/>
  <c r="J172" i="1" l="1"/>
  <c r="K172" i="1" s="1"/>
  <c r="E172" i="1" s="1"/>
  <c r="K173" i="1"/>
  <c r="E173" i="1" s="1"/>
  <c r="E171" i="1"/>
  <c r="K162" i="1"/>
  <c r="K169" i="1" l="1"/>
  <c r="E162" i="1"/>
  <c r="K175" i="1" l="1"/>
  <c r="E175" i="1" s="1"/>
  <c r="E169" i="1"/>
</calcChain>
</file>

<file path=xl/sharedStrings.xml><?xml version="1.0" encoding="utf-8"?>
<sst xmlns="http://schemas.openxmlformats.org/spreadsheetml/2006/main" count="461" uniqueCount="143">
  <si>
    <t>Total for All Years</t>
  </si>
  <si>
    <t>Base Period</t>
  </si>
  <si>
    <t>Option Year 1</t>
  </si>
  <si>
    <t>Option Year 2</t>
  </si>
  <si>
    <t>Option Year 3</t>
  </si>
  <si>
    <t>Option Year 4</t>
  </si>
  <si>
    <t>Cost Elements</t>
  </si>
  <si>
    <t>Hours</t>
  </si>
  <si>
    <t>Amount</t>
  </si>
  <si>
    <t>Rate</t>
  </si>
  <si>
    <t>Prime Contractor Labor Cost</t>
  </si>
  <si>
    <t>Prime Contractor Direct Labor</t>
  </si>
  <si>
    <t>Total Direct Labor Cost</t>
  </si>
  <si>
    <t>Prime Contractor Indirect Labor Cost</t>
  </si>
  <si>
    <t>Overhead</t>
  </si>
  <si>
    <t>Fringe Benefits</t>
  </si>
  <si>
    <t>G&amp;A</t>
  </si>
  <si>
    <t>Total Indirect Labor Cost</t>
  </si>
  <si>
    <t>Total Direct and Indirect Labor cost</t>
  </si>
  <si>
    <t>COM</t>
  </si>
  <si>
    <t>Total Prime Contractor Labor Cost</t>
  </si>
  <si>
    <t>Subcontractor Labor Cost</t>
  </si>
  <si>
    <t>Subcontractor proposed cost and fee</t>
  </si>
  <si>
    <t>Total proposed subcontractor labor cost and fee</t>
  </si>
  <si>
    <t>Prime contractor pass through (not including fee)</t>
  </si>
  <si>
    <t>Handling</t>
  </si>
  <si>
    <t>Other (if any)</t>
  </si>
  <si>
    <t>Total pass through (not including fee)</t>
  </si>
  <si>
    <t>Total Subcontractor Cost including pass through</t>
  </si>
  <si>
    <t>Total Labor Cost (Prime and Subcontractor Labor)</t>
  </si>
  <si>
    <t>Fixed Fee</t>
  </si>
  <si>
    <t xml:space="preserve">Prime Contractor Fee for Prime Contractor Labor </t>
  </si>
  <si>
    <t>Prime Contractor Fee for Subcontractor Labor *</t>
  </si>
  <si>
    <t>Total Fee (for Prime and Subcontractor Labor)</t>
  </si>
  <si>
    <t>Total Labor Cost Plus Fixed Fee (CPFF)</t>
  </si>
  <si>
    <t>Other Direct Costs</t>
  </si>
  <si>
    <t>Other Direct Costs (ODCs)</t>
  </si>
  <si>
    <t>Any adders to ODCs such as G&amp;A (cost only - no fee)</t>
  </si>
  <si>
    <t>Total ODCs</t>
  </si>
  <si>
    <t>Total CPFF all CLINs (Labor and ODCs)</t>
  </si>
  <si>
    <t>Pass Through Analysis - Total for All Years</t>
  </si>
  <si>
    <t>Percent</t>
  </si>
  <si>
    <t>Pass Through Amount (not including fee)</t>
  </si>
  <si>
    <t>Total Pass Through Amount (including fee)</t>
  </si>
  <si>
    <t>Maximum Pass Through Allowed by SeaPort-e IDIQ Contract</t>
  </si>
  <si>
    <t>Fee Analysis - Total for All Years</t>
  </si>
  <si>
    <t>Fixed Fee for Labor Performed by Prime Contractor</t>
  </si>
  <si>
    <t>Maximum Fixed Fee Allowed by SeaPort-e IDIQ Contract</t>
  </si>
  <si>
    <t xml:space="preserve">*  When analyzing pass through costs, the Government will consider prime offeror fee on subcontractor price as an element of pass through as explained in the Section H Savings Clause of the MACs.  In Section B, however, prime offeror fee on subcontractor price is a fee element rather than a cost element.  Prime offeror fee on subcontractor price should be included in the fee column (rather than the cost column) of Section B.
</t>
  </si>
  <si>
    <t>COST PROPOSAL SPREADSHEEET</t>
  </si>
  <si>
    <t>Company Labor Category</t>
  </si>
  <si>
    <t>eCRAFT Labor Category</t>
  </si>
  <si>
    <t>SOLICITATION NO. N0017825R3013 - ATTACHMENT J.8</t>
  </si>
  <si>
    <t>Surge Labor</t>
  </si>
  <si>
    <t>Fixed Fee on Surge Labor</t>
  </si>
  <si>
    <t>Surge Total Labor Plus Fixed Fee</t>
  </si>
  <si>
    <t>Subcontractor 1 (Astrion)</t>
  </si>
  <si>
    <t>Subcontractor 2 (Deloitte)</t>
  </si>
  <si>
    <t>TBD</t>
  </si>
  <si>
    <t>Program Analyst</t>
  </si>
  <si>
    <t>Logistics Analyst</t>
  </si>
  <si>
    <t>Subcontractor 3 (Gnostech)</t>
  </si>
  <si>
    <t>Sr. Systems Engineer</t>
  </si>
  <si>
    <t>Systems Engineer</t>
  </si>
  <si>
    <t>SYSTEMS ADMINISTRATOR II</t>
  </si>
  <si>
    <t>ENGINEER, ELECTRICAL/ELECTRONICS II</t>
  </si>
  <si>
    <t>ANALYST, FINANCIAL SYSTEMS</t>
  </si>
  <si>
    <t>LOGISTICIAN I</t>
  </si>
  <si>
    <t>ENGINEER, SYSTEMS III</t>
  </si>
  <si>
    <t>ENGINEER, SYSTEMS II</t>
  </si>
  <si>
    <t>Subcontractor 4 (KBR)</t>
  </si>
  <si>
    <t>IT Systems Administrator</t>
  </si>
  <si>
    <t>Technical Professional - Electrical</t>
  </si>
  <si>
    <t>Program Manager, Senior</t>
  </si>
  <si>
    <t>Systems Analyst, Senior</t>
  </si>
  <si>
    <t>Infrastructure Design Engineer, Senior</t>
  </si>
  <si>
    <t>Program Analyst, Senior</t>
  </si>
  <si>
    <t>Systems Engineer, Senior</t>
  </si>
  <si>
    <t>Systems Administrator, Senior</t>
  </si>
  <si>
    <t>Systems Engineer, Journeyman</t>
  </si>
  <si>
    <t>AI Analyst, Intermediate</t>
  </si>
  <si>
    <t>Systems Administrator, Journeyman</t>
  </si>
  <si>
    <t>Systems Engineer, Intermediate</t>
  </si>
  <si>
    <t>Enterprise Engineer/Architect, Intermediate</t>
  </si>
  <si>
    <t>Physical Infrastructure Specialist, Intermediate</t>
  </si>
  <si>
    <t>Facilities Manager, Intermediate</t>
  </si>
  <si>
    <t>Systems Administrator, Intermediate</t>
  </si>
  <si>
    <t>Database Programmer, Journeyman</t>
  </si>
  <si>
    <t>Logistician, Intermediate</t>
  </si>
  <si>
    <t>MANAGER, PROGRAM/PROJECT II</t>
  </si>
  <si>
    <t>ACQUISITION MANAGEMENT III</t>
  </si>
  <si>
    <t>SYSTEMS ADMINISTRATOR III</t>
  </si>
  <si>
    <t>ENGINEER, COMPUTER II</t>
  </si>
  <si>
    <t>SPECIALIST, SECURITY I</t>
  </si>
  <si>
    <t>Escalation</t>
  </si>
  <si>
    <t>Program Analyst, Intermediate</t>
  </si>
  <si>
    <t>Subcontractor Name (if applicable): Astrion Group, LLC (Astrion), Deloitte Consulting LLP (Deloitte), Gnostech, LLC (Gnostech), and KBR Wyle Services, LLC (KBR)</t>
  </si>
  <si>
    <t>Systems Administrator (Windows)</t>
  </si>
  <si>
    <t>Systems Administrator (Unix/Linux)</t>
  </si>
  <si>
    <t>Electrical Engineer</t>
  </si>
  <si>
    <t xml:space="preserve">DCAA Point of Contact Information: </t>
  </si>
  <si>
    <t>Key - Individual 1</t>
  </si>
  <si>
    <t>Key - Individual 2</t>
  </si>
  <si>
    <t>Key - Individual 3</t>
  </si>
  <si>
    <t>Key - Individual 4</t>
  </si>
  <si>
    <t>Key - Individual 5</t>
  </si>
  <si>
    <t>Key - Individual 6</t>
  </si>
  <si>
    <t>Key - Individual 7</t>
  </si>
  <si>
    <t>Key - Individual 8</t>
  </si>
  <si>
    <t>Individual 1</t>
  </si>
  <si>
    <t>Individual 2</t>
  </si>
  <si>
    <t>Individual 3</t>
  </si>
  <si>
    <t>Individual 4</t>
  </si>
  <si>
    <t>Individual 5</t>
  </si>
  <si>
    <t>Individual 6</t>
  </si>
  <si>
    <t>Individual 7</t>
  </si>
  <si>
    <t>Individual 8</t>
  </si>
  <si>
    <t>Individual 9</t>
  </si>
  <si>
    <t>Individual 10</t>
  </si>
  <si>
    <t>Individual 11</t>
  </si>
  <si>
    <t>Individual 12</t>
  </si>
  <si>
    <t>Individual 13</t>
  </si>
  <si>
    <t>Prime Offeror Name: Intrepix</t>
  </si>
  <si>
    <t>Nexagen FBLR</t>
  </si>
  <si>
    <t>FEE</t>
  </si>
  <si>
    <t>Labor Category</t>
  </si>
  <si>
    <t>S&amp;MH</t>
  </si>
  <si>
    <t>Target Rate</t>
  </si>
  <si>
    <t>Diff Check</t>
  </si>
  <si>
    <t>Agile Scum Master</t>
  </si>
  <si>
    <t>Budget Analyst</t>
  </si>
  <si>
    <t>Cloud SME (Azure/AWS)</t>
  </si>
  <si>
    <t>Configuration Management Specialist</t>
  </si>
  <si>
    <t>Cyber Security Engineer</t>
  </si>
  <si>
    <t>Database Analyst</t>
  </si>
  <si>
    <t>Network and Computer Systems Administrator</t>
  </si>
  <si>
    <t>Network Engineer</t>
  </si>
  <si>
    <t>Program Manager</t>
  </si>
  <si>
    <t>SME (Redhat/Cyber/Other)</t>
  </si>
  <si>
    <t>Software Developer</t>
  </si>
  <si>
    <t>System Engineer</t>
  </si>
  <si>
    <t>Technical Writer/Editor</t>
  </si>
  <si>
    <t>Test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</si>
</sst>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"/>
    <numFmt numFmtId="165" formatCode="&quot;$&quot;#,##0.00000"/>
    <numFmt numFmtId="166" formatCode="&quot;$&quot;#,##0.00"/>
  </numFmts>
  <fonts count="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02">
    <xf numFmtId="0" fontId="0" fillId="0" borderId="0" xfId="0"/>
    <xf numFmtId="0" fontId="4" fillId="0" borderId="0" xfId="0" applyFont="1"/>
    <xf numFmtId="0" fontId="5" fillId="0" borderId="0" xfId="0" applyFont="1"/>
    <xf numFmtId="2" fontId="4" fillId="0" borderId="0" xfId="0" applyNumberFormat="1" applyFont="1" applyAlignment="1">
      <alignment horizontal="center"/>
    </xf>
    <xf numFmtId="0" fontId="4" fillId="0" borderId="4" xfId="0" applyFont="1" applyBorder="1"/>
    <xf numFmtId="0" fontId="4" fillId="0" borderId="30" xfId="0" applyFont="1" applyBorder="1"/>
    <xf numFmtId="0" fontId="4" fillId="0" borderId="5" xfId="0" applyFont="1" applyBorder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/>
    <xf numFmtId="0" fontId="4" fillId="0" borderId="31" xfId="0" applyFont="1" applyBorder="1"/>
    <xf numFmtId="0" fontId="5" fillId="0" borderId="10" xfId="0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12" xfId="0" applyFont="1" applyBorder="1" applyAlignment="1">
      <alignment horizontal="left" indent="1"/>
    </xf>
    <xf numFmtId="0" fontId="5" fillId="0" borderId="32" xfId="0" applyFont="1" applyBorder="1" applyAlignment="1">
      <alignment horizontal="left" indent="1"/>
    </xf>
    <xf numFmtId="0" fontId="5" fillId="0" borderId="13" xfId="0" applyFont="1" applyBorder="1"/>
    <xf numFmtId="0" fontId="5" fillId="0" borderId="12" xfId="0" applyFont="1" applyBorder="1"/>
    <xf numFmtId="0" fontId="5" fillId="0" borderId="14" xfId="0" applyFont="1" applyBorder="1"/>
    <xf numFmtId="0" fontId="5" fillId="0" borderId="12" xfId="0" applyFont="1" applyBorder="1" applyAlignment="1">
      <alignment horizontal="left" indent="3"/>
    </xf>
    <xf numFmtId="0" fontId="5" fillId="0" borderId="32" xfId="0" applyFont="1" applyBorder="1" applyAlignment="1">
      <alignment horizontal="left" indent="3"/>
    </xf>
    <xf numFmtId="0" fontId="5" fillId="0" borderId="32" xfId="0" applyFont="1" applyBorder="1"/>
    <xf numFmtId="0" fontId="4" fillId="0" borderId="12" xfId="0" applyFont="1" applyBorder="1"/>
    <xf numFmtId="0" fontId="4" fillId="0" borderId="32" xfId="0" applyFont="1" applyBorder="1"/>
    <xf numFmtId="0" fontId="4" fillId="0" borderId="12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5" fillId="0" borderId="7" xfId="0" applyFont="1" applyBorder="1"/>
    <xf numFmtId="0" fontId="5" fillId="0" borderId="6" xfId="0" applyFont="1" applyBorder="1"/>
    <xf numFmtId="0" fontId="4" fillId="0" borderId="0" xfId="0" applyFont="1" applyAlignment="1">
      <alignment horizontal="left"/>
    </xf>
    <xf numFmtId="0" fontId="4" fillId="0" borderId="14" xfId="0" applyFont="1" applyBorder="1"/>
    <xf numFmtId="0" fontId="4" fillId="0" borderId="38" xfId="0" applyFont="1" applyBorder="1"/>
    <xf numFmtId="0" fontId="5" fillId="0" borderId="34" xfId="0" applyFont="1" applyBorder="1" applyAlignment="1">
      <alignment horizontal="left" indent="1"/>
    </xf>
    <xf numFmtId="0" fontId="5" fillId="0" borderId="35" xfId="0" applyFont="1" applyBorder="1"/>
    <xf numFmtId="0" fontId="5" fillId="0" borderId="36" xfId="0" applyFont="1" applyBorder="1"/>
    <xf numFmtId="0" fontId="5" fillId="0" borderId="37" xfId="0" applyFont="1" applyBorder="1"/>
    <xf numFmtId="0" fontId="4" fillId="0" borderId="15" xfId="0" applyFont="1" applyBorder="1"/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left"/>
    </xf>
    <xf numFmtId="164" fontId="5" fillId="0" borderId="19" xfId="0" applyNumberFormat="1" applyFont="1" applyBorder="1"/>
    <xf numFmtId="0" fontId="5" fillId="2" borderId="20" xfId="0" applyFont="1" applyFill="1" applyBorder="1"/>
    <xf numFmtId="0" fontId="5" fillId="0" borderId="21" xfId="0" applyFont="1" applyBorder="1" applyAlignment="1">
      <alignment horizontal="left"/>
    </xf>
    <xf numFmtId="164" fontId="5" fillId="0" borderId="22" xfId="0" applyNumberFormat="1" applyFont="1" applyBorder="1"/>
    <xf numFmtId="9" fontId="5" fillId="2" borderId="23" xfId="1" applyFont="1" applyFill="1" applyBorder="1"/>
    <xf numFmtId="0" fontId="5" fillId="0" borderId="24" xfId="0" applyFont="1" applyBorder="1" applyAlignment="1">
      <alignment horizontal="left"/>
    </xf>
    <xf numFmtId="164" fontId="5" fillId="0" borderId="25" xfId="0" applyNumberFormat="1" applyFont="1" applyBorder="1"/>
    <xf numFmtId="9" fontId="5" fillId="2" borderId="26" xfId="1" applyFont="1" applyFill="1" applyBorder="1"/>
    <xf numFmtId="10" fontId="5" fillId="0" borderId="26" xfId="1" applyNumberFormat="1" applyFont="1" applyFill="1" applyBorder="1" applyAlignment="1">
      <alignment horizontal="center"/>
    </xf>
    <xf numFmtId="0" fontId="5" fillId="0" borderId="27" xfId="0" applyFont="1" applyBorder="1" applyAlignment="1">
      <alignment horizontal="left"/>
    </xf>
    <xf numFmtId="0" fontId="5" fillId="2" borderId="28" xfId="0" applyFont="1" applyFill="1" applyBorder="1"/>
    <xf numFmtId="10" fontId="5" fillId="0" borderId="29" xfId="1" applyNumberFormat="1" applyFont="1" applyBorder="1" applyAlignment="1">
      <alignment horizontal="center"/>
    </xf>
    <xf numFmtId="10" fontId="5" fillId="0" borderId="23" xfId="1" applyNumberFormat="1" applyFont="1" applyFill="1" applyBorder="1"/>
    <xf numFmtId="3" fontId="5" fillId="0" borderId="12" xfId="0" applyNumberFormat="1" applyFont="1" applyBorder="1"/>
    <xf numFmtId="44" fontId="5" fillId="0" borderId="13" xfId="0" applyNumberFormat="1" applyFont="1" applyBorder="1"/>
    <xf numFmtId="3" fontId="5" fillId="0" borderId="14" xfId="0" applyNumberFormat="1" applyFont="1" applyBorder="1"/>
    <xf numFmtId="44" fontId="5" fillId="0" borderId="12" xfId="2" applyFont="1" applyBorder="1"/>
    <xf numFmtId="10" fontId="5" fillId="0" borderId="12" xfId="1" applyNumberFormat="1" applyFont="1" applyBorder="1"/>
    <xf numFmtId="44" fontId="5" fillId="0" borderId="14" xfId="0" applyNumberFormat="1" applyFont="1" applyBorder="1"/>
    <xf numFmtId="44" fontId="5" fillId="0" borderId="13" xfId="2" applyFont="1" applyBorder="1"/>
    <xf numFmtId="44" fontId="5" fillId="0" borderId="14" xfId="2" applyFont="1" applyBorder="1"/>
    <xf numFmtId="0" fontId="4" fillId="0" borderId="12" xfId="0" applyFont="1" applyBorder="1" applyAlignment="1">
      <alignment horizontal="left" indent="1"/>
    </xf>
    <xf numFmtId="44" fontId="5" fillId="0" borderId="12" xfId="2" applyFont="1" applyFill="1" applyBorder="1"/>
    <xf numFmtId="0" fontId="5" fillId="3" borderId="13" xfId="0" applyFont="1" applyFill="1" applyBorder="1"/>
    <xf numFmtId="3" fontId="5" fillId="0" borderId="6" xfId="0" applyNumberFormat="1" applyFont="1" applyBorder="1"/>
    <xf numFmtId="44" fontId="5" fillId="0" borderId="7" xfId="2" applyFont="1" applyBorder="1"/>
    <xf numFmtId="3" fontId="5" fillId="0" borderId="8" xfId="0" applyNumberFormat="1" applyFont="1" applyBorder="1"/>
    <xf numFmtId="44" fontId="5" fillId="0" borderId="7" xfId="0" applyNumberFormat="1" applyFont="1" applyBorder="1"/>
    <xf numFmtId="44" fontId="5" fillId="0" borderId="12" xfId="0" applyNumberFormat="1" applyFont="1" applyBorder="1"/>
    <xf numFmtId="10" fontId="5" fillId="0" borderId="12" xfId="0" applyNumberFormat="1" applyFont="1" applyBorder="1"/>
    <xf numFmtId="0" fontId="5" fillId="0" borderId="14" xfId="0" applyFont="1" applyBorder="1" applyAlignment="1">
      <alignment horizontal="center"/>
    </xf>
    <xf numFmtId="10" fontId="5" fillId="0" borderId="14" xfId="1" applyNumberFormat="1" applyFont="1" applyBorder="1"/>
    <xf numFmtId="44" fontId="5" fillId="0" borderId="13" xfId="2" applyFont="1" applyFill="1" applyBorder="1"/>
    <xf numFmtId="0" fontId="5" fillId="0" borderId="32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0" xfId="0" applyFont="1" applyAlignment="1">
      <alignment horizontal="left" wrapText="1"/>
    </xf>
    <xf numFmtId="0" fontId="6" fillId="3" borderId="14" xfId="0" applyFont="1" applyFill="1" applyBorder="1"/>
    <xf numFmtId="0" fontId="0" fillId="3" borderId="14" xfId="0" applyFill="1" applyBorder="1"/>
    <xf numFmtId="0" fontId="0" fillId="3" borderId="0" xfId="0" applyFill="1"/>
    <xf numFmtId="10" fontId="0" fillId="3" borderId="0" xfId="0" applyNumberFormat="1" applyFill="1"/>
    <xf numFmtId="10" fontId="0" fillId="3" borderId="0" xfId="1" applyNumberFormat="1" applyFont="1" applyFill="1"/>
    <xf numFmtId="0" fontId="6" fillId="3" borderId="14" xfId="0" applyFont="1" applyFill="1" applyBorder="1" applyAlignment="1">
      <alignment horizontal="right"/>
    </xf>
    <xf numFmtId="165" fontId="0" fillId="4" borderId="14" xfId="0" applyNumberFormat="1" applyFill="1" applyBorder="1"/>
    <xf numFmtId="10" fontId="0" fillId="4" borderId="14" xfId="1" applyNumberFormat="1" applyFont="1" applyFill="1" applyBorder="1"/>
    <xf numFmtId="165" fontId="0" fillId="3" borderId="14" xfId="0" applyNumberFormat="1" applyFill="1" applyBorder="1"/>
    <xf numFmtId="165" fontId="0" fillId="3" borderId="0" xfId="0" applyNumberFormat="1" applyFill="1"/>
    <xf numFmtId="165" fontId="6" fillId="3" borderId="14" xfId="0" applyNumberFormat="1" applyFont="1" applyFill="1" applyBorder="1" applyAlignment="1">
      <alignment horizontal="center"/>
    </xf>
    <xf numFmtId="10" fontId="6" fillId="3" borderId="14" xfId="1" applyNumberFormat="1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44" fontId="0" fillId="3" borderId="14" xfId="2" applyFont="1" applyFill="1" applyBorder="1"/>
    <xf numFmtId="44" fontId="0" fillId="5" borderId="14" xfId="2" applyFont="1" applyFill="1" applyBorder="1"/>
    <xf numFmtId="44" fontId="0" fillId="3" borderId="14" xfId="0" applyNumberFormat="1" applyFill="1" applyBorder="1"/>
    <xf numFmtId="10" fontId="0" fillId="3" borderId="14" xfId="1" applyNumberFormat="1" applyFont="1" applyFill="1" applyBorder="1"/>
    <xf numFmtId="166" fontId="0" fillId="3" borderId="14" xfId="0" applyNumberFormat="1" applyFill="1" applyBorder="1"/>
    <xf numFmtId="165" fontId="0" fillId="0" borderId="14" xfId="0" applyNumberFormat="1" applyBorder="1"/>
    <xf numFmtId="44" fontId="0" fillId="3" borderId="0" xfId="2" applyFont="1" applyFill="1"/>
    <xf numFmtId="44" fontId="0" fillId="3" borderId="0" xfId="0" applyNumberFormat="1" applyFill="1"/>
    <xf numFmtId="10" fontId="0" fillId="3" borderId="0" xfId="2" applyNumberFormat="1" applyFont="1" applyFill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xagen1-my.sharepoint.com/Users/peter.moskalow/AppData/Local/Microsoft/Windows/INetCache/Content.Outlook/CUSR68D1/AMSEC%20LLC%20Estimate%20Response%20FQ%2018-Q-016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v't Cost Summary Format"/>
      <sheetName val="Offeror Summary"/>
      <sheetName val="Yr1, Labor Estimate Details"/>
      <sheetName val="Yr2, Labor Estimate Details"/>
      <sheetName val="Yr 1,Support Direct Costs"/>
      <sheetName val="Yr 2, Support Direct Costs"/>
      <sheetName val="ESTIMATE"/>
      <sheetName val="Travel Data"/>
      <sheetName val="GOVT COST SUMMARY FORMAT"/>
    </sheetNames>
    <sheetDataSet>
      <sheetData sheetId="0">
        <row r="6">
          <cell r="A6" t="str">
            <v xml:space="preserve">Subcontractor Name: </v>
          </cell>
        </row>
        <row r="7">
          <cell r="A7" t="str">
            <v xml:space="preserve">DCAA Point of Contact Information:  </v>
          </cell>
        </row>
        <row r="9">
          <cell r="A9" t="str">
            <v>Cost Elements</v>
          </cell>
        </row>
        <row r="12">
          <cell r="A12" t="str">
            <v>Contractor Labor Category 1</v>
          </cell>
        </row>
        <row r="13">
          <cell r="A13" t="str">
            <v>Contractor Labor Category 2</v>
          </cell>
        </row>
        <row r="14">
          <cell r="A14" t="str">
            <v>Etc.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>
        <row r="3">
          <cell r="A3" t="str">
            <v>Alexandria, Egypt</v>
          </cell>
        </row>
        <row r="4">
          <cell r="A4" t="str">
            <v>Al Jubail, Saudi Arabia</v>
          </cell>
        </row>
        <row r="5">
          <cell r="A5" t="str">
            <v>Andros Island, Bahamas</v>
          </cell>
        </row>
        <row r="6">
          <cell r="A6" t="str">
            <v>Annapolis, MD</v>
          </cell>
        </row>
        <row r="7">
          <cell r="A7" t="str">
            <v>Athens, Greece</v>
          </cell>
        </row>
        <row r="8">
          <cell r="A8" t="str">
            <v>Bahrain</v>
          </cell>
        </row>
        <row r="9">
          <cell r="A9" t="str">
            <v>Baltimore, MD</v>
          </cell>
        </row>
        <row r="10">
          <cell r="A10" t="str">
            <v>Bath, ME</v>
          </cell>
        </row>
        <row r="11">
          <cell r="A11" t="str">
            <v>Bayonne, NJ</v>
          </cell>
        </row>
        <row r="12">
          <cell r="A12" t="str">
            <v>Beaumont, TX</v>
          </cell>
        </row>
        <row r="13">
          <cell r="A13" t="str">
            <v>Bordentown, NJ</v>
          </cell>
        </row>
        <row r="14">
          <cell r="A14" t="str">
            <v>Boston, MA</v>
          </cell>
        </row>
        <row r="15">
          <cell r="A15" t="str">
            <v>Bremerton, WA</v>
          </cell>
        </row>
        <row r="16">
          <cell r="A16" t="str">
            <v>Charleston, SC</v>
          </cell>
        </row>
        <row r="17">
          <cell r="A17" t="str">
            <v>Cleveland, OH</v>
          </cell>
        </row>
        <row r="18">
          <cell r="A18" t="str">
            <v>Cornwall, UK</v>
          </cell>
        </row>
        <row r="19">
          <cell r="A19" t="str">
            <v>Corpus Christi, TX</v>
          </cell>
        </row>
        <row r="20">
          <cell r="A20" t="str">
            <v>Everett, WA</v>
          </cell>
        </row>
        <row r="21">
          <cell r="A21" t="str">
            <v>Gaeta, Italy</v>
          </cell>
        </row>
        <row r="22">
          <cell r="A22" t="str">
            <v>Groton, CT</v>
          </cell>
        </row>
        <row r="23">
          <cell r="A23" t="str">
            <v>Guam</v>
          </cell>
        </row>
        <row r="24">
          <cell r="A24" t="str">
            <v>Halifax, Canada</v>
          </cell>
        </row>
        <row r="25">
          <cell r="A25" t="str">
            <v>Istanbul, Turkey</v>
          </cell>
        </row>
        <row r="26">
          <cell r="A26" t="str">
            <v>Kauai, HI</v>
          </cell>
        </row>
        <row r="27">
          <cell r="A27" t="str">
            <v>King's Bay, GA</v>
          </cell>
        </row>
        <row r="28">
          <cell r="A28" t="str">
            <v>Kodiak, AK</v>
          </cell>
        </row>
        <row r="29">
          <cell r="A29" t="str">
            <v>Kuwait</v>
          </cell>
        </row>
        <row r="30">
          <cell r="A30" t="str">
            <v>Lakehurst, NJ</v>
          </cell>
        </row>
        <row r="31">
          <cell r="A31" t="str">
            <v>La Maddalena, Italy</v>
          </cell>
        </row>
        <row r="32">
          <cell r="A32" t="str">
            <v>Logan, UT</v>
          </cell>
        </row>
        <row r="33">
          <cell r="A33" t="str">
            <v>Mare Island, CA</v>
          </cell>
        </row>
        <row r="34">
          <cell r="A34" t="str">
            <v>Mayport, FL</v>
          </cell>
        </row>
        <row r="35">
          <cell r="A35" t="str">
            <v>Milwaukee, WI</v>
          </cell>
        </row>
        <row r="36">
          <cell r="A36" t="str">
            <v>Naples, Italy</v>
          </cell>
        </row>
        <row r="37">
          <cell r="A37" t="str">
            <v>New Orleans, LA</v>
          </cell>
        </row>
        <row r="38">
          <cell r="A38" t="str">
            <v>Newport, RI</v>
          </cell>
        </row>
        <row r="39">
          <cell r="A39" t="str">
            <v>Norfolk, VA</v>
          </cell>
        </row>
        <row r="40">
          <cell r="A40" t="str">
            <v>Panama City, FL</v>
          </cell>
        </row>
        <row r="41">
          <cell r="A41" t="str">
            <v>Pascagoula, MS</v>
          </cell>
        </row>
        <row r="42">
          <cell r="A42" t="str">
            <v>Patuxent, MD</v>
          </cell>
        </row>
        <row r="43">
          <cell r="A43" t="str">
            <v>Pearl Harbor, HI</v>
          </cell>
        </row>
        <row r="44">
          <cell r="A44" t="str">
            <v>Philadelphia, PA</v>
          </cell>
        </row>
        <row r="45">
          <cell r="A45" t="str">
            <v>Portland, OR</v>
          </cell>
        </row>
        <row r="46">
          <cell r="A46" t="str">
            <v>Portsmouth, NH</v>
          </cell>
        </row>
        <row r="47">
          <cell r="A47" t="str">
            <v>Redzikowo, Poland</v>
          </cell>
        </row>
        <row r="48">
          <cell r="A48" t="str">
            <v>Rijeka, Croatia</v>
          </cell>
        </row>
        <row r="49">
          <cell r="A49" t="str">
            <v>Rota, Spain</v>
          </cell>
        </row>
        <row r="50">
          <cell r="A50" t="str">
            <v>San Diego, CA</v>
          </cell>
        </row>
        <row r="51">
          <cell r="A51" t="str">
            <v>San Francisco, CA</v>
          </cell>
        </row>
        <row r="52">
          <cell r="A52" t="str">
            <v>Sasebo, Japan</v>
          </cell>
        </row>
        <row r="53">
          <cell r="A53" t="str">
            <v>Seattle, WA</v>
          </cell>
        </row>
        <row r="54">
          <cell r="A54" t="str">
            <v>Singapore</v>
          </cell>
        </row>
        <row r="55">
          <cell r="A55" t="str">
            <v>Subic Bay, Philippines</v>
          </cell>
        </row>
        <row r="56">
          <cell r="A56" t="str">
            <v>Sydney, Australia</v>
          </cell>
        </row>
        <row r="57">
          <cell r="A57" t="str">
            <v>Tacoma, WA</v>
          </cell>
        </row>
        <row r="58">
          <cell r="A58" t="str">
            <v>Taipei, Taiwan</v>
          </cell>
        </row>
        <row r="59">
          <cell r="A59" t="str">
            <v>Thailand</v>
          </cell>
        </row>
        <row r="60">
          <cell r="A60" t="str">
            <v>United Arab Emirates</v>
          </cell>
        </row>
        <row r="61">
          <cell r="A61" t="str">
            <v>Vancouver, Canada</v>
          </cell>
        </row>
        <row r="62">
          <cell r="A62" t="str">
            <v>Washington DC</v>
          </cell>
        </row>
        <row r="63">
          <cell r="A63" t="str">
            <v>West Palm Beach, FL</v>
          </cell>
        </row>
        <row r="64">
          <cell r="A64" t="str">
            <v>Yokohama, Japan</v>
          </cell>
        </row>
        <row r="65">
          <cell r="A65" t="str">
            <v>Yokosuka, Japan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92"/>
  <sheetViews>
    <sheetView zoomScale="120" zoomScaleNormal="120" workbookViewId="0">
      <pane xSplit="3" ySplit="8" topLeftCell="D23" activePane="bottomRight" state="frozen"/>
      <selection pane="topRight" activeCell="C1" sqref="C1"/>
      <selection pane="bottomLeft" activeCell="A10" sqref="A10"/>
      <selection pane="bottomRight" activeCell="E126" sqref="E126"/>
    </sheetView>
  </sheetViews>
  <sheetFormatPr baseColWidth="10" defaultColWidth="9.1640625" defaultRowHeight="12" x14ac:dyDescent="0.15"/>
  <cols>
    <col min="1" max="1" width="47.33203125" style="2" customWidth="1"/>
    <col min="2" max="2" width="34.5" style="2" bestFit="1" customWidth="1"/>
    <col min="3" max="3" width="35.33203125" style="2" customWidth="1"/>
    <col min="4" max="4" width="9.1640625" style="2" customWidth="1"/>
    <col min="5" max="5" width="13.83203125" style="2" bestFit="1" customWidth="1"/>
    <col min="6" max="6" width="9.1640625" style="2" customWidth="1"/>
    <col min="7" max="8" width="12.83203125" style="2" bestFit="1" customWidth="1"/>
    <col min="9" max="9" width="9.1640625" style="2" customWidth="1"/>
    <col min="10" max="11" width="12.83203125" style="2" bestFit="1" customWidth="1"/>
    <col min="12" max="12" width="9.1640625" style="2" customWidth="1"/>
    <col min="13" max="14" width="12.83203125" style="2" bestFit="1" customWidth="1"/>
    <col min="15" max="15" width="9.1640625" style="2" customWidth="1"/>
    <col min="16" max="17" width="12.83203125" style="2" bestFit="1" customWidth="1"/>
    <col min="18" max="18" width="9.1640625" style="2" customWidth="1"/>
    <col min="19" max="20" width="12.83203125" style="2" bestFit="1" customWidth="1"/>
    <col min="21" max="16384" width="9.1640625" style="2"/>
  </cols>
  <sheetData>
    <row r="1" spans="1:20" x14ac:dyDescent="0.15">
      <c r="A1" s="1" t="s">
        <v>52</v>
      </c>
      <c r="B1" s="1"/>
      <c r="I1" s="72" t="s">
        <v>94</v>
      </c>
      <c r="L1" s="72" t="s">
        <v>94</v>
      </c>
      <c r="O1" s="72" t="s">
        <v>94</v>
      </c>
      <c r="R1" s="72" t="s">
        <v>94</v>
      </c>
    </row>
    <row r="2" spans="1:20" x14ac:dyDescent="0.15">
      <c r="A2" s="1" t="s">
        <v>49</v>
      </c>
      <c r="B2" s="1"/>
      <c r="I2" s="73">
        <v>2.7199999999999998E-2</v>
      </c>
      <c r="L2" s="73">
        <v>2.9899999999999999E-2</v>
      </c>
      <c r="O2" s="73">
        <v>2.63E-2</v>
      </c>
      <c r="R2" s="73">
        <v>3.4000000000000002E-2</v>
      </c>
    </row>
    <row r="3" spans="1:20" ht="6" customHeight="1" x14ac:dyDescent="0.15">
      <c r="A3" s="1"/>
      <c r="B3" s="1"/>
    </row>
    <row r="4" spans="1:20" x14ac:dyDescent="0.15">
      <c r="A4" s="2" t="s">
        <v>122</v>
      </c>
    </row>
    <row r="5" spans="1:20" x14ac:dyDescent="0.15">
      <c r="A5" s="2" t="s">
        <v>96</v>
      </c>
    </row>
    <row r="6" spans="1:20" ht="13" thickBot="1" x14ac:dyDescent="0.2">
      <c r="A6" s="2" t="s">
        <v>100</v>
      </c>
    </row>
    <row r="7" spans="1:20" ht="13" thickBot="1" x14ac:dyDescent="0.2">
      <c r="A7" s="1"/>
      <c r="B7" s="1"/>
      <c r="C7" s="3"/>
      <c r="D7" s="76" t="s">
        <v>0</v>
      </c>
      <c r="E7" s="78"/>
      <c r="F7" s="76" t="s">
        <v>1</v>
      </c>
      <c r="G7" s="77"/>
      <c r="H7" s="78"/>
      <c r="I7" s="76" t="s">
        <v>2</v>
      </c>
      <c r="J7" s="77"/>
      <c r="K7" s="78"/>
      <c r="L7" s="76" t="s">
        <v>3</v>
      </c>
      <c r="M7" s="77"/>
      <c r="N7" s="78"/>
      <c r="O7" s="76" t="s">
        <v>4</v>
      </c>
      <c r="P7" s="77"/>
      <c r="Q7" s="78"/>
      <c r="R7" s="76" t="s">
        <v>5</v>
      </c>
      <c r="S7" s="77"/>
      <c r="T7" s="78"/>
    </row>
    <row r="8" spans="1:20" ht="13" thickBot="1" x14ac:dyDescent="0.2">
      <c r="A8" s="4" t="s">
        <v>6</v>
      </c>
      <c r="B8" s="5" t="s">
        <v>50</v>
      </c>
      <c r="C8" s="6" t="s">
        <v>51</v>
      </c>
      <c r="D8" s="7" t="s">
        <v>7</v>
      </c>
      <c r="E8" s="8" t="s">
        <v>8</v>
      </c>
      <c r="F8" s="7" t="s">
        <v>9</v>
      </c>
      <c r="G8" s="9" t="s">
        <v>7</v>
      </c>
      <c r="H8" s="8" t="s">
        <v>8</v>
      </c>
      <c r="I8" s="7" t="s">
        <v>9</v>
      </c>
      <c r="J8" s="9" t="s">
        <v>7</v>
      </c>
      <c r="K8" s="8" t="s">
        <v>8</v>
      </c>
      <c r="L8" s="7" t="s">
        <v>9</v>
      </c>
      <c r="M8" s="9" t="s">
        <v>7</v>
      </c>
      <c r="N8" s="8" t="s">
        <v>8</v>
      </c>
      <c r="O8" s="7" t="s">
        <v>9</v>
      </c>
      <c r="P8" s="9" t="s">
        <v>7</v>
      </c>
      <c r="Q8" s="8" t="s">
        <v>8</v>
      </c>
      <c r="R8" s="7" t="s">
        <v>9</v>
      </c>
      <c r="S8" s="9" t="s">
        <v>7</v>
      </c>
      <c r="T8" s="8" t="s">
        <v>8</v>
      </c>
    </row>
    <row r="9" spans="1:20" x14ac:dyDescent="0.15">
      <c r="A9" s="10" t="s">
        <v>10</v>
      </c>
      <c r="B9" s="11"/>
      <c r="C9" s="12"/>
      <c r="D9" s="13"/>
      <c r="E9" s="12"/>
      <c r="F9" s="13"/>
      <c r="G9" s="14"/>
      <c r="H9" s="12"/>
      <c r="I9" s="13"/>
      <c r="J9" s="14"/>
      <c r="K9" s="12"/>
      <c r="L9" s="13"/>
      <c r="M9" s="14"/>
      <c r="N9" s="12"/>
      <c r="O9" s="13"/>
      <c r="P9" s="14"/>
      <c r="Q9" s="12"/>
      <c r="R9" s="13"/>
      <c r="S9" s="14"/>
      <c r="T9" s="12"/>
    </row>
    <row r="10" spans="1:20" x14ac:dyDescent="0.15">
      <c r="A10" s="15" t="s">
        <v>11</v>
      </c>
      <c r="B10" s="16"/>
      <c r="C10" s="17"/>
      <c r="D10" s="18"/>
      <c r="E10" s="17"/>
      <c r="F10" s="18"/>
      <c r="G10" s="19"/>
      <c r="H10" s="17"/>
      <c r="I10" s="18"/>
      <c r="J10" s="19"/>
      <c r="K10" s="17"/>
      <c r="L10" s="18"/>
      <c r="M10" s="19"/>
      <c r="N10" s="17"/>
      <c r="O10" s="18"/>
      <c r="P10" s="19"/>
      <c r="Q10" s="17"/>
      <c r="R10" s="18"/>
      <c r="S10" s="19"/>
      <c r="T10" s="17"/>
    </row>
    <row r="11" spans="1:20" x14ac:dyDescent="0.15">
      <c r="A11" s="20" t="s">
        <v>101</v>
      </c>
      <c r="B11" s="75" t="s">
        <v>73</v>
      </c>
      <c r="C11" s="17" t="s">
        <v>89</v>
      </c>
      <c r="D11" s="55">
        <f>G11+J11+M11+P11+S11</f>
        <v>9400</v>
      </c>
      <c r="E11" s="56">
        <f>H11+K11+N11+Q11+T11</f>
        <v>979128.31444333517</v>
      </c>
      <c r="F11" s="64">
        <v>98.387234042553189</v>
      </c>
      <c r="G11" s="57">
        <v>1880</v>
      </c>
      <c r="H11" s="56">
        <f>F11*G11</f>
        <v>184968</v>
      </c>
      <c r="I11" s="64">
        <f>F11+(F11*$I$2)</f>
        <v>101.06336680851064</v>
      </c>
      <c r="J11" s="57">
        <v>1880</v>
      </c>
      <c r="K11" s="56">
        <f>I11*J11</f>
        <v>189999.12959999999</v>
      </c>
      <c r="L11" s="64">
        <f>I11+(I11*$L$2)</f>
        <v>104.0851614760851</v>
      </c>
      <c r="M11" s="57">
        <v>1880</v>
      </c>
      <c r="N11" s="56">
        <f>L11*M11</f>
        <v>195680.10357504</v>
      </c>
      <c r="O11" s="64">
        <f>L11+(L11*$O$2)</f>
        <v>106.82260122290614</v>
      </c>
      <c r="P11" s="57">
        <v>1880</v>
      </c>
      <c r="Q11" s="56">
        <f>O11*P11</f>
        <v>200826.49029906356</v>
      </c>
      <c r="R11" s="64">
        <f>O11+(O11*$R$2)</f>
        <v>110.45456966448495</v>
      </c>
      <c r="S11" s="57">
        <v>1880</v>
      </c>
      <c r="T11" s="56">
        <f>R11*S11</f>
        <v>207654.59096923171</v>
      </c>
    </row>
    <row r="12" spans="1:20" x14ac:dyDescent="0.15">
      <c r="A12" s="20" t="s">
        <v>102</v>
      </c>
      <c r="B12" s="75" t="s">
        <v>74</v>
      </c>
      <c r="C12" s="17" t="s">
        <v>68</v>
      </c>
      <c r="D12" s="55">
        <f t="shared" ref="D12:D75" si="0">G12+J12+M12+P12+S12</f>
        <v>9400</v>
      </c>
      <c r="E12" s="56">
        <f t="shared" ref="E12:E75" si="1">H12+K12+N12+Q12+T12</f>
        <v>772423.44806085352</v>
      </c>
      <c r="F12" s="64">
        <v>77.616595744680865</v>
      </c>
      <c r="G12" s="57">
        <v>1880</v>
      </c>
      <c r="H12" s="56">
        <f t="shared" ref="H12:H75" si="2">F12*G12</f>
        <v>145919.20000000001</v>
      </c>
      <c r="I12" s="64">
        <f t="shared" ref="I12:I75" si="3">F12+(F12*$I$2)</f>
        <v>79.727767148936181</v>
      </c>
      <c r="J12" s="57">
        <v>1880</v>
      </c>
      <c r="K12" s="56">
        <f t="shared" ref="K12:K75" si="4">I12*J12</f>
        <v>149888.20224000001</v>
      </c>
      <c r="L12" s="64">
        <f t="shared" ref="L12:L75" si="5">I12+(I12*$L$2)</f>
        <v>82.111627386689378</v>
      </c>
      <c r="M12" s="57">
        <v>1880</v>
      </c>
      <c r="N12" s="56">
        <f t="shared" ref="N12:N75" si="6">L12*M12</f>
        <v>154369.85948697603</v>
      </c>
      <c r="O12" s="64">
        <f t="shared" ref="O12:O75" si="7">L12+(L12*$O$2)</f>
        <v>84.271163186959313</v>
      </c>
      <c r="P12" s="57">
        <v>1880</v>
      </c>
      <c r="Q12" s="56">
        <f t="shared" ref="Q12:Q75" si="8">O12*P12</f>
        <v>158429.78679148352</v>
      </c>
      <c r="R12" s="64">
        <f t="shared" ref="R12:R75" si="9">O12+(O12*$R$2)</f>
        <v>87.136382735315934</v>
      </c>
      <c r="S12" s="57">
        <v>1880</v>
      </c>
      <c r="T12" s="56">
        <f t="shared" ref="T12:T75" si="10">R12*S12</f>
        <v>163816.39954239395</v>
      </c>
    </row>
    <row r="13" spans="1:20" x14ac:dyDescent="0.15">
      <c r="A13" s="20" t="s">
        <v>103</v>
      </c>
      <c r="B13" s="75" t="s">
        <v>75</v>
      </c>
      <c r="C13" s="17" t="s">
        <v>68</v>
      </c>
      <c r="D13" s="55">
        <f t="shared" si="0"/>
        <v>9400</v>
      </c>
      <c r="E13" s="56">
        <f t="shared" si="1"/>
        <v>815940.26203611284</v>
      </c>
      <c r="F13" s="64">
        <v>81.989361702127667</v>
      </c>
      <c r="G13" s="57">
        <v>1880</v>
      </c>
      <c r="H13" s="56">
        <f t="shared" si="2"/>
        <v>154140</v>
      </c>
      <c r="I13" s="64">
        <f t="shared" si="3"/>
        <v>84.21947234042554</v>
      </c>
      <c r="J13" s="57">
        <v>1880</v>
      </c>
      <c r="K13" s="56">
        <f t="shared" si="4"/>
        <v>158332.60800000001</v>
      </c>
      <c r="L13" s="64">
        <f t="shared" si="5"/>
        <v>86.737634563404271</v>
      </c>
      <c r="M13" s="57">
        <v>1880</v>
      </c>
      <c r="N13" s="56">
        <f t="shared" si="6"/>
        <v>163066.75297920004</v>
      </c>
      <c r="O13" s="64">
        <f t="shared" si="7"/>
        <v>89.018834352421806</v>
      </c>
      <c r="P13" s="57">
        <v>1880</v>
      </c>
      <c r="Q13" s="56">
        <f t="shared" si="8"/>
        <v>167355.40858255301</v>
      </c>
      <c r="R13" s="64">
        <f t="shared" si="9"/>
        <v>92.045474720404144</v>
      </c>
      <c r="S13" s="57">
        <v>1880</v>
      </c>
      <c r="T13" s="56">
        <f t="shared" si="10"/>
        <v>173045.49247435978</v>
      </c>
    </row>
    <row r="14" spans="1:20" x14ac:dyDescent="0.15">
      <c r="A14" s="20" t="s">
        <v>104</v>
      </c>
      <c r="B14" s="75" t="s">
        <v>76</v>
      </c>
      <c r="C14" s="17" t="s">
        <v>90</v>
      </c>
      <c r="D14" s="55">
        <f t="shared" si="0"/>
        <v>9400</v>
      </c>
      <c r="E14" s="56">
        <f t="shared" si="1"/>
        <v>897534.28823972389</v>
      </c>
      <c r="F14" s="64">
        <v>90.188297872340428</v>
      </c>
      <c r="G14" s="57">
        <v>1880</v>
      </c>
      <c r="H14" s="56">
        <f t="shared" si="2"/>
        <v>169554</v>
      </c>
      <c r="I14" s="64">
        <f t="shared" si="3"/>
        <v>92.641419574468088</v>
      </c>
      <c r="J14" s="57">
        <v>1880</v>
      </c>
      <c r="K14" s="56">
        <f t="shared" si="4"/>
        <v>174165.8688</v>
      </c>
      <c r="L14" s="64">
        <f t="shared" si="5"/>
        <v>95.411398019744681</v>
      </c>
      <c r="M14" s="57">
        <v>1880</v>
      </c>
      <c r="N14" s="56">
        <f t="shared" si="6"/>
        <v>179373.42827711999</v>
      </c>
      <c r="O14" s="64">
        <f t="shared" si="7"/>
        <v>97.920717787663961</v>
      </c>
      <c r="P14" s="57">
        <v>1880</v>
      </c>
      <c r="Q14" s="56">
        <f t="shared" si="8"/>
        <v>184090.94944080824</v>
      </c>
      <c r="R14" s="64">
        <f t="shared" si="9"/>
        <v>101.25002219244453</v>
      </c>
      <c r="S14" s="57">
        <v>1880</v>
      </c>
      <c r="T14" s="56">
        <f t="shared" si="10"/>
        <v>190350.04172179571</v>
      </c>
    </row>
    <row r="15" spans="1:20" x14ac:dyDescent="0.15">
      <c r="A15" s="20" t="s">
        <v>105</v>
      </c>
      <c r="B15" s="75" t="s">
        <v>77</v>
      </c>
      <c r="C15" s="17" t="s">
        <v>68</v>
      </c>
      <c r="D15" s="55">
        <f t="shared" si="0"/>
        <v>9400</v>
      </c>
      <c r="E15" s="56">
        <f t="shared" si="1"/>
        <v>769975.62727474503</v>
      </c>
      <c r="F15" s="64">
        <v>77.370627659574467</v>
      </c>
      <c r="G15" s="57">
        <v>1880</v>
      </c>
      <c r="H15" s="56">
        <f t="shared" si="2"/>
        <v>145456.78</v>
      </c>
      <c r="I15" s="64">
        <f t="shared" si="3"/>
        <v>79.475108731914887</v>
      </c>
      <c r="J15" s="57">
        <v>1880</v>
      </c>
      <c r="K15" s="56">
        <f t="shared" si="4"/>
        <v>149413.20441599999</v>
      </c>
      <c r="L15" s="64">
        <f t="shared" si="5"/>
        <v>81.851414482999147</v>
      </c>
      <c r="M15" s="57">
        <v>1880</v>
      </c>
      <c r="N15" s="56">
        <f t="shared" si="6"/>
        <v>153880.65922803839</v>
      </c>
      <c r="O15" s="64">
        <f t="shared" si="7"/>
        <v>84.004106683902023</v>
      </c>
      <c r="P15" s="57">
        <v>1880</v>
      </c>
      <c r="Q15" s="56">
        <f t="shared" si="8"/>
        <v>157927.7205657358</v>
      </c>
      <c r="R15" s="64">
        <f t="shared" si="9"/>
        <v>86.860246311154697</v>
      </c>
      <c r="S15" s="57">
        <v>1880</v>
      </c>
      <c r="T15" s="56">
        <f t="shared" si="10"/>
        <v>163297.26306497084</v>
      </c>
    </row>
    <row r="16" spans="1:20" x14ac:dyDescent="0.15">
      <c r="A16" s="20" t="s">
        <v>106</v>
      </c>
      <c r="B16" s="75" t="s">
        <v>78</v>
      </c>
      <c r="C16" s="17" t="s">
        <v>91</v>
      </c>
      <c r="D16" s="55">
        <f t="shared" si="0"/>
        <v>9400</v>
      </c>
      <c r="E16" s="56">
        <f t="shared" si="1"/>
        <v>848904.2486223717</v>
      </c>
      <c r="F16" s="64">
        <v>85.301731914893622</v>
      </c>
      <c r="G16" s="57">
        <v>1880</v>
      </c>
      <c r="H16" s="56">
        <f t="shared" si="2"/>
        <v>160367.25600000002</v>
      </c>
      <c r="I16" s="64">
        <f t="shared" si="3"/>
        <v>87.621939022978722</v>
      </c>
      <c r="J16" s="57">
        <v>1880</v>
      </c>
      <c r="K16" s="56">
        <f t="shared" si="4"/>
        <v>164729.2453632</v>
      </c>
      <c r="L16" s="64">
        <f t="shared" si="5"/>
        <v>90.241834999765786</v>
      </c>
      <c r="M16" s="57">
        <v>1880</v>
      </c>
      <c r="N16" s="56">
        <f t="shared" si="6"/>
        <v>169654.64979955967</v>
      </c>
      <c r="O16" s="64">
        <f t="shared" si="7"/>
        <v>92.615195260259625</v>
      </c>
      <c r="P16" s="57">
        <v>1880</v>
      </c>
      <c r="Q16" s="56">
        <f t="shared" si="8"/>
        <v>174116.56708928809</v>
      </c>
      <c r="R16" s="64">
        <f t="shared" si="9"/>
        <v>95.764111899108457</v>
      </c>
      <c r="S16" s="57">
        <v>1880</v>
      </c>
      <c r="T16" s="56">
        <f t="shared" si="10"/>
        <v>180036.53037032389</v>
      </c>
    </row>
    <row r="17" spans="1:20" x14ac:dyDescent="0.15">
      <c r="A17" s="20" t="s">
        <v>107</v>
      </c>
      <c r="B17" s="75" t="s">
        <v>78</v>
      </c>
      <c r="C17" s="17" t="s">
        <v>91</v>
      </c>
      <c r="D17" s="55">
        <f t="shared" si="0"/>
        <v>9400</v>
      </c>
      <c r="E17" s="56">
        <f t="shared" si="1"/>
        <v>571158.18342527887</v>
      </c>
      <c r="F17" s="64">
        <v>57.392553191489363</v>
      </c>
      <c r="G17" s="57">
        <v>1880</v>
      </c>
      <c r="H17" s="56">
        <f t="shared" si="2"/>
        <v>107898</v>
      </c>
      <c r="I17" s="64">
        <f t="shared" si="3"/>
        <v>58.953630638297874</v>
      </c>
      <c r="J17" s="57">
        <v>1880</v>
      </c>
      <c r="K17" s="56">
        <f t="shared" si="4"/>
        <v>110832.8256</v>
      </c>
      <c r="L17" s="64">
        <f t="shared" si="5"/>
        <v>60.716344194382977</v>
      </c>
      <c r="M17" s="57">
        <v>1880</v>
      </c>
      <c r="N17" s="56">
        <f t="shared" si="6"/>
        <v>114146.72708544</v>
      </c>
      <c r="O17" s="64">
        <f t="shared" si="7"/>
        <v>62.313184046695248</v>
      </c>
      <c r="P17" s="57">
        <v>1880</v>
      </c>
      <c r="Q17" s="56">
        <f t="shared" si="8"/>
        <v>117148.78600778707</v>
      </c>
      <c r="R17" s="64">
        <f t="shared" si="9"/>
        <v>64.431832304282892</v>
      </c>
      <c r="S17" s="57">
        <v>1880</v>
      </c>
      <c r="T17" s="56">
        <f t="shared" si="10"/>
        <v>121131.84473205183</v>
      </c>
    </row>
    <row r="18" spans="1:20" x14ac:dyDescent="0.15">
      <c r="A18" s="20" t="s">
        <v>108</v>
      </c>
      <c r="B18" s="75" t="s">
        <v>79</v>
      </c>
      <c r="C18" s="17" t="s">
        <v>69</v>
      </c>
      <c r="D18" s="55">
        <f t="shared" si="0"/>
        <v>9400</v>
      </c>
      <c r="E18" s="56">
        <f t="shared" si="1"/>
        <v>679950.21836342721</v>
      </c>
      <c r="F18" s="64">
        <v>68.324468085106375</v>
      </c>
      <c r="G18" s="57">
        <v>1880</v>
      </c>
      <c r="H18" s="56">
        <f t="shared" si="2"/>
        <v>128449.99999999999</v>
      </c>
      <c r="I18" s="64">
        <f t="shared" si="3"/>
        <v>70.182893617021264</v>
      </c>
      <c r="J18" s="57">
        <v>1880</v>
      </c>
      <c r="K18" s="56">
        <f t="shared" si="4"/>
        <v>131943.83999999997</v>
      </c>
      <c r="L18" s="64">
        <f t="shared" si="5"/>
        <v>72.281362136170202</v>
      </c>
      <c r="M18" s="57">
        <v>1880</v>
      </c>
      <c r="N18" s="56">
        <f t="shared" si="6"/>
        <v>135888.96081599998</v>
      </c>
      <c r="O18" s="64">
        <f t="shared" si="7"/>
        <v>74.182361960351471</v>
      </c>
      <c r="P18" s="57">
        <v>1880</v>
      </c>
      <c r="Q18" s="56">
        <f t="shared" si="8"/>
        <v>139462.84048546077</v>
      </c>
      <c r="R18" s="64">
        <f t="shared" si="9"/>
        <v>76.704562267003425</v>
      </c>
      <c r="S18" s="57">
        <v>1880</v>
      </c>
      <c r="T18" s="56">
        <f t="shared" si="10"/>
        <v>144204.57706196644</v>
      </c>
    </row>
    <row r="19" spans="1:20" x14ac:dyDescent="0.15">
      <c r="A19" s="20" t="s">
        <v>58</v>
      </c>
      <c r="B19" s="75" t="s">
        <v>80</v>
      </c>
      <c r="C19" s="17" t="s">
        <v>92</v>
      </c>
      <c r="D19" s="55">
        <f t="shared" si="0"/>
        <v>9400</v>
      </c>
      <c r="E19" s="56">
        <f t="shared" si="1"/>
        <v>638557.68638606009</v>
      </c>
      <c r="F19" s="64">
        <v>64.165159574468092</v>
      </c>
      <c r="G19" s="57">
        <v>1880</v>
      </c>
      <c r="H19" s="56">
        <f t="shared" si="2"/>
        <v>120630.50000000001</v>
      </c>
      <c r="I19" s="64">
        <f t="shared" si="3"/>
        <v>65.910451914893628</v>
      </c>
      <c r="J19" s="57">
        <v>1880</v>
      </c>
      <c r="K19" s="56">
        <f t="shared" si="4"/>
        <v>123911.64960000002</v>
      </c>
      <c r="L19" s="64">
        <f t="shared" si="5"/>
        <v>67.881174427148949</v>
      </c>
      <c r="M19" s="57">
        <v>1880</v>
      </c>
      <c r="N19" s="56">
        <f t="shared" si="6"/>
        <v>127616.60792304002</v>
      </c>
      <c r="O19" s="64">
        <f t="shared" si="7"/>
        <v>69.666449314582962</v>
      </c>
      <c r="P19" s="57">
        <v>1880</v>
      </c>
      <c r="Q19" s="56">
        <f t="shared" si="8"/>
        <v>130972.92471141597</v>
      </c>
      <c r="R19" s="64">
        <f t="shared" si="9"/>
        <v>72.035108591278785</v>
      </c>
      <c r="S19" s="57">
        <v>1880</v>
      </c>
      <c r="T19" s="56">
        <f t="shared" si="10"/>
        <v>135426.00415160411</v>
      </c>
    </row>
    <row r="20" spans="1:20" x14ac:dyDescent="0.15">
      <c r="A20" s="20" t="s">
        <v>58</v>
      </c>
      <c r="B20" s="75" t="s">
        <v>80</v>
      </c>
      <c r="C20" s="17" t="s">
        <v>92</v>
      </c>
      <c r="D20" s="55">
        <f t="shared" si="0"/>
        <v>1880</v>
      </c>
      <c r="E20" s="56">
        <f t="shared" si="1"/>
        <v>135426.00415160411</v>
      </c>
      <c r="F20" s="64">
        <v>64.165159574468092</v>
      </c>
      <c r="G20" s="57">
        <v>0</v>
      </c>
      <c r="H20" s="56">
        <f t="shared" si="2"/>
        <v>0</v>
      </c>
      <c r="I20" s="64">
        <f t="shared" si="3"/>
        <v>65.910451914893628</v>
      </c>
      <c r="J20" s="57">
        <v>0</v>
      </c>
      <c r="K20" s="56">
        <f t="shared" si="4"/>
        <v>0</v>
      </c>
      <c r="L20" s="64">
        <f t="shared" si="5"/>
        <v>67.881174427148949</v>
      </c>
      <c r="M20" s="57">
        <v>0</v>
      </c>
      <c r="N20" s="56">
        <f t="shared" si="6"/>
        <v>0</v>
      </c>
      <c r="O20" s="64">
        <f t="shared" si="7"/>
        <v>69.666449314582962</v>
      </c>
      <c r="P20" s="57">
        <v>0</v>
      </c>
      <c r="Q20" s="56">
        <f t="shared" si="8"/>
        <v>0</v>
      </c>
      <c r="R20" s="64">
        <f t="shared" si="9"/>
        <v>72.035108591278785</v>
      </c>
      <c r="S20" s="57">
        <v>1880</v>
      </c>
      <c r="T20" s="56">
        <f t="shared" si="10"/>
        <v>135426.00415160411</v>
      </c>
    </row>
    <row r="21" spans="1:20" x14ac:dyDescent="0.15">
      <c r="A21" s="20" t="s">
        <v>58</v>
      </c>
      <c r="B21" s="75" t="s">
        <v>75</v>
      </c>
      <c r="C21" s="17" t="s">
        <v>68</v>
      </c>
      <c r="D21" s="55">
        <f t="shared" si="0"/>
        <v>9400</v>
      </c>
      <c r="E21" s="56">
        <f t="shared" si="1"/>
        <v>615355.79457908019</v>
      </c>
      <c r="F21" s="64">
        <v>61.833728723404256</v>
      </c>
      <c r="G21" s="57">
        <v>1880</v>
      </c>
      <c r="H21" s="56">
        <f t="shared" si="2"/>
        <v>116247.41</v>
      </c>
      <c r="I21" s="64">
        <f t="shared" si="3"/>
        <v>63.515606144680852</v>
      </c>
      <c r="J21" s="57">
        <v>1880</v>
      </c>
      <c r="K21" s="56">
        <f t="shared" si="4"/>
        <v>119409.339552</v>
      </c>
      <c r="L21" s="64">
        <f t="shared" si="5"/>
        <v>65.414722768406804</v>
      </c>
      <c r="M21" s="57">
        <v>1880</v>
      </c>
      <c r="N21" s="56">
        <f t="shared" si="6"/>
        <v>122979.67880460479</v>
      </c>
      <c r="O21" s="64">
        <f t="shared" si="7"/>
        <v>67.135129977215897</v>
      </c>
      <c r="P21" s="57">
        <v>1880</v>
      </c>
      <c r="Q21" s="56">
        <f t="shared" si="8"/>
        <v>126214.04435716588</v>
      </c>
      <c r="R21" s="64">
        <f t="shared" si="9"/>
        <v>69.417724396441244</v>
      </c>
      <c r="S21" s="57">
        <v>1880</v>
      </c>
      <c r="T21" s="56">
        <f t="shared" si="10"/>
        <v>130505.32186530954</v>
      </c>
    </row>
    <row r="22" spans="1:20" x14ac:dyDescent="0.15">
      <c r="A22" s="20" t="s">
        <v>58</v>
      </c>
      <c r="B22" s="75" t="s">
        <v>75</v>
      </c>
      <c r="C22" s="17" t="s">
        <v>68</v>
      </c>
      <c r="D22" s="55">
        <f t="shared" si="0"/>
        <v>9400</v>
      </c>
      <c r="E22" s="56">
        <f t="shared" si="1"/>
        <v>615355.79457908019</v>
      </c>
      <c r="F22" s="64">
        <v>61.833728723404256</v>
      </c>
      <c r="G22" s="57">
        <v>1880</v>
      </c>
      <c r="H22" s="56">
        <f t="shared" si="2"/>
        <v>116247.41</v>
      </c>
      <c r="I22" s="64">
        <f t="shared" si="3"/>
        <v>63.515606144680852</v>
      </c>
      <c r="J22" s="57">
        <v>1880</v>
      </c>
      <c r="K22" s="56">
        <f t="shared" si="4"/>
        <v>119409.339552</v>
      </c>
      <c r="L22" s="64">
        <f t="shared" si="5"/>
        <v>65.414722768406804</v>
      </c>
      <c r="M22" s="57">
        <v>1880</v>
      </c>
      <c r="N22" s="56">
        <f t="shared" si="6"/>
        <v>122979.67880460479</v>
      </c>
      <c r="O22" s="64">
        <f t="shared" si="7"/>
        <v>67.135129977215897</v>
      </c>
      <c r="P22" s="57">
        <v>1880</v>
      </c>
      <c r="Q22" s="56">
        <f t="shared" si="8"/>
        <v>126214.04435716588</v>
      </c>
      <c r="R22" s="64">
        <f t="shared" si="9"/>
        <v>69.417724396441244</v>
      </c>
      <c r="S22" s="57">
        <v>1880</v>
      </c>
      <c r="T22" s="56">
        <f t="shared" si="10"/>
        <v>130505.32186530954</v>
      </c>
    </row>
    <row r="23" spans="1:20" x14ac:dyDescent="0.15">
      <c r="A23" s="20" t="s">
        <v>58</v>
      </c>
      <c r="B23" s="75" t="s">
        <v>78</v>
      </c>
      <c r="C23" s="17" t="s">
        <v>91</v>
      </c>
      <c r="D23" s="55">
        <f t="shared" si="0"/>
        <v>9400</v>
      </c>
      <c r="E23" s="56">
        <f t="shared" si="1"/>
        <v>574933.93190137285</v>
      </c>
      <c r="F23" s="64">
        <v>57.771957446808521</v>
      </c>
      <c r="G23" s="57">
        <v>1880</v>
      </c>
      <c r="H23" s="56">
        <f t="shared" si="2"/>
        <v>108611.28000000001</v>
      </c>
      <c r="I23" s="64">
        <f t="shared" si="3"/>
        <v>59.343354689361711</v>
      </c>
      <c r="J23" s="57">
        <v>1880</v>
      </c>
      <c r="K23" s="56">
        <f t="shared" si="4"/>
        <v>111565.50681600002</v>
      </c>
      <c r="L23" s="64">
        <f t="shared" si="5"/>
        <v>61.117720994573624</v>
      </c>
      <c r="M23" s="57">
        <v>1880</v>
      </c>
      <c r="N23" s="56">
        <f t="shared" si="6"/>
        <v>114901.31546979841</v>
      </c>
      <c r="O23" s="64">
        <f t="shared" si="7"/>
        <v>62.725117056730909</v>
      </c>
      <c r="P23" s="57">
        <v>1880</v>
      </c>
      <c r="Q23" s="56">
        <f t="shared" si="8"/>
        <v>117923.2200666541</v>
      </c>
      <c r="R23" s="64">
        <f t="shared" si="9"/>
        <v>64.857771036659756</v>
      </c>
      <c r="S23" s="57">
        <v>1880</v>
      </c>
      <c r="T23" s="56">
        <f t="shared" si="10"/>
        <v>121932.60954892034</v>
      </c>
    </row>
    <row r="24" spans="1:20" x14ac:dyDescent="0.15">
      <c r="A24" s="20" t="s">
        <v>58</v>
      </c>
      <c r="B24" s="75" t="s">
        <v>78</v>
      </c>
      <c r="C24" s="17" t="s">
        <v>91</v>
      </c>
      <c r="D24" s="55">
        <f t="shared" si="0"/>
        <v>9400</v>
      </c>
      <c r="E24" s="56">
        <f t="shared" si="1"/>
        <v>574933.93190137285</v>
      </c>
      <c r="F24" s="64">
        <v>57.771957446808521</v>
      </c>
      <c r="G24" s="57">
        <v>1880</v>
      </c>
      <c r="H24" s="56">
        <f t="shared" si="2"/>
        <v>108611.28000000001</v>
      </c>
      <c r="I24" s="64">
        <f t="shared" si="3"/>
        <v>59.343354689361711</v>
      </c>
      <c r="J24" s="57">
        <v>1880</v>
      </c>
      <c r="K24" s="56">
        <f t="shared" si="4"/>
        <v>111565.50681600002</v>
      </c>
      <c r="L24" s="64">
        <f t="shared" si="5"/>
        <v>61.117720994573624</v>
      </c>
      <c r="M24" s="57">
        <v>1880</v>
      </c>
      <c r="N24" s="56">
        <f t="shared" si="6"/>
        <v>114901.31546979841</v>
      </c>
      <c r="O24" s="64">
        <f t="shared" si="7"/>
        <v>62.725117056730909</v>
      </c>
      <c r="P24" s="57">
        <v>1880</v>
      </c>
      <c r="Q24" s="56">
        <f t="shared" si="8"/>
        <v>117923.2200666541</v>
      </c>
      <c r="R24" s="64">
        <f t="shared" si="9"/>
        <v>64.857771036659756</v>
      </c>
      <c r="S24" s="57">
        <v>1880</v>
      </c>
      <c r="T24" s="56">
        <f t="shared" si="10"/>
        <v>121932.60954892034</v>
      </c>
    </row>
    <row r="25" spans="1:20" x14ac:dyDescent="0.15">
      <c r="A25" s="20" t="s">
        <v>58</v>
      </c>
      <c r="B25" s="75" t="s">
        <v>78</v>
      </c>
      <c r="C25" s="17" t="s">
        <v>91</v>
      </c>
      <c r="D25" s="55">
        <f t="shared" si="0"/>
        <v>9400</v>
      </c>
      <c r="E25" s="56">
        <f t="shared" si="1"/>
        <v>574933.93190137285</v>
      </c>
      <c r="F25" s="64">
        <v>57.771957446808521</v>
      </c>
      <c r="G25" s="57">
        <v>1880</v>
      </c>
      <c r="H25" s="56">
        <f t="shared" si="2"/>
        <v>108611.28000000001</v>
      </c>
      <c r="I25" s="64">
        <f t="shared" si="3"/>
        <v>59.343354689361711</v>
      </c>
      <c r="J25" s="57">
        <v>1880</v>
      </c>
      <c r="K25" s="56">
        <f t="shared" si="4"/>
        <v>111565.50681600002</v>
      </c>
      <c r="L25" s="64">
        <f t="shared" si="5"/>
        <v>61.117720994573624</v>
      </c>
      <c r="M25" s="57">
        <v>1880</v>
      </c>
      <c r="N25" s="56">
        <f t="shared" si="6"/>
        <v>114901.31546979841</v>
      </c>
      <c r="O25" s="64">
        <f t="shared" si="7"/>
        <v>62.725117056730909</v>
      </c>
      <c r="P25" s="57">
        <v>1880</v>
      </c>
      <c r="Q25" s="56">
        <f t="shared" si="8"/>
        <v>117923.2200666541</v>
      </c>
      <c r="R25" s="64">
        <f t="shared" si="9"/>
        <v>64.857771036659756</v>
      </c>
      <c r="S25" s="57">
        <v>1880</v>
      </c>
      <c r="T25" s="56">
        <f t="shared" si="10"/>
        <v>121932.60954892034</v>
      </c>
    </row>
    <row r="26" spans="1:20" x14ac:dyDescent="0.15">
      <c r="A26" s="20" t="s">
        <v>58</v>
      </c>
      <c r="B26" s="75" t="s">
        <v>78</v>
      </c>
      <c r="C26" s="17" t="s">
        <v>91</v>
      </c>
      <c r="D26" s="55">
        <f t="shared" si="0"/>
        <v>9400</v>
      </c>
      <c r="E26" s="56">
        <f t="shared" si="1"/>
        <v>574933.93190137285</v>
      </c>
      <c r="F26" s="64">
        <v>57.771957446808521</v>
      </c>
      <c r="G26" s="57">
        <v>1880</v>
      </c>
      <c r="H26" s="56">
        <f t="shared" si="2"/>
        <v>108611.28000000001</v>
      </c>
      <c r="I26" s="64">
        <f t="shared" si="3"/>
        <v>59.343354689361711</v>
      </c>
      <c r="J26" s="57">
        <v>1880</v>
      </c>
      <c r="K26" s="56">
        <f t="shared" si="4"/>
        <v>111565.50681600002</v>
      </c>
      <c r="L26" s="64">
        <f t="shared" si="5"/>
        <v>61.117720994573624</v>
      </c>
      <c r="M26" s="57">
        <v>1880</v>
      </c>
      <c r="N26" s="56">
        <f t="shared" si="6"/>
        <v>114901.31546979841</v>
      </c>
      <c r="O26" s="64">
        <f t="shared" si="7"/>
        <v>62.725117056730909</v>
      </c>
      <c r="P26" s="57">
        <v>1880</v>
      </c>
      <c r="Q26" s="56">
        <f t="shared" si="8"/>
        <v>117923.2200666541</v>
      </c>
      <c r="R26" s="64">
        <f t="shared" si="9"/>
        <v>64.857771036659756</v>
      </c>
      <c r="S26" s="57">
        <v>1880</v>
      </c>
      <c r="T26" s="56">
        <f t="shared" si="10"/>
        <v>121932.60954892034</v>
      </c>
    </row>
    <row r="27" spans="1:20" x14ac:dyDescent="0.15">
      <c r="A27" s="20" t="s">
        <v>58</v>
      </c>
      <c r="B27" s="75" t="s">
        <v>77</v>
      </c>
      <c r="C27" s="17" t="s">
        <v>68</v>
      </c>
      <c r="D27" s="55">
        <f t="shared" si="0"/>
        <v>9400</v>
      </c>
      <c r="E27" s="56">
        <f t="shared" si="1"/>
        <v>600907.34208771074</v>
      </c>
      <c r="F27" s="64">
        <v>60.381882978723404</v>
      </c>
      <c r="G27" s="57">
        <v>1880</v>
      </c>
      <c r="H27" s="56">
        <f t="shared" si="2"/>
        <v>113517.94</v>
      </c>
      <c r="I27" s="64">
        <f t="shared" si="3"/>
        <v>62.024270195744677</v>
      </c>
      <c r="J27" s="57">
        <v>1880</v>
      </c>
      <c r="K27" s="56">
        <f t="shared" si="4"/>
        <v>116605.62796799999</v>
      </c>
      <c r="L27" s="64">
        <f t="shared" si="5"/>
        <v>63.878795874597444</v>
      </c>
      <c r="M27" s="57">
        <v>1880</v>
      </c>
      <c r="N27" s="56">
        <f t="shared" si="6"/>
        <v>120092.1362442432</v>
      </c>
      <c r="O27" s="64">
        <f t="shared" si="7"/>
        <v>65.558808206099357</v>
      </c>
      <c r="P27" s="57">
        <v>1880</v>
      </c>
      <c r="Q27" s="56">
        <f t="shared" si="8"/>
        <v>123250.5594274668</v>
      </c>
      <c r="R27" s="64">
        <f t="shared" si="9"/>
        <v>67.787807685106742</v>
      </c>
      <c r="S27" s="57">
        <v>1880</v>
      </c>
      <c r="T27" s="56">
        <f t="shared" si="10"/>
        <v>127441.07844800067</v>
      </c>
    </row>
    <row r="28" spans="1:20" x14ac:dyDescent="0.15">
      <c r="A28" s="20" t="s">
        <v>58</v>
      </c>
      <c r="B28" s="75" t="s">
        <v>77</v>
      </c>
      <c r="C28" s="17" t="s">
        <v>68</v>
      </c>
      <c r="D28" s="55">
        <f t="shared" si="0"/>
        <v>9400</v>
      </c>
      <c r="E28" s="56">
        <f t="shared" si="1"/>
        <v>600907.34208771074</v>
      </c>
      <c r="F28" s="64">
        <v>60.381882978723404</v>
      </c>
      <c r="G28" s="57">
        <v>1880</v>
      </c>
      <c r="H28" s="56">
        <f t="shared" si="2"/>
        <v>113517.94</v>
      </c>
      <c r="I28" s="64">
        <f t="shared" si="3"/>
        <v>62.024270195744677</v>
      </c>
      <c r="J28" s="57">
        <v>1880</v>
      </c>
      <c r="K28" s="56">
        <f t="shared" si="4"/>
        <v>116605.62796799999</v>
      </c>
      <c r="L28" s="64">
        <f t="shared" si="5"/>
        <v>63.878795874597444</v>
      </c>
      <c r="M28" s="57">
        <v>1880</v>
      </c>
      <c r="N28" s="56">
        <f t="shared" si="6"/>
        <v>120092.1362442432</v>
      </c>
      <c r="O28" s="64">
        <f t="shared" si="7"/>
        <v>65.558808206099357</v>
      </c>
      <c r="P28" s="57">
        <v>1880</v>
      </c>
      <c r="Q28" s="56">
        <f t="shared" si="8"/>
        <v>123250.5594274668</v>
      </c>
      <c r="R28" s="64">
        <f t="shared" si="9"/>
        <v>67.787807685106742</v>
      </c>
      <c r="S28" s="57">
        <v>1880</v>
      </c>
      <c r="T28" s="56">
        <f t="shared" si="10"/>
        <v>127441.07844800067</v>
      </c>
    </row>
    <row r="29" spans="1:20" x14ac:dyDescent="0.15">
      <c r="A29" s="20" t="s">
        <v>58</v>
      </c>
      <c r="B29" s="75" t="s">
        <v>74</v>
      </c>
      <c r="C29" s="17" t="s">
        <v>68</v>
      </c>
      <c r="D29" s="55">
        <f t="shared" si="0"/>
        <v>9400</v>
      </c>
      <c r="E29" s="56">
        <f t="shared" si="1"/>
        <v>563266.84370143723</v>
      </c>
      <c r="F29" s="64">
        <v>56.599595744680855</v>
      </c>
      <c r="G29" s="57">
        <v>1880</v>
      </c>
      <c r="H29" s="56">
        <f t="shared" si="2"/>
        <v>106407.24</v>
      </c>
      <c r="I29" s="64">
        <f t="shared" si="3"/>
        <v>58.139104748936177</v>
      </c>
      <c r="J29" s="57">
        <v>1880</v>
      </c>
      <c r="K29" s="56">
        <f t="shared" si="4"/>
        <v>109301.51692800001</v>
      </c>
      <c r="L29" s="64">
        <f t="shared" si="5"/>
        <v>59.87746398092937</v>
      </c>
      <c r="M29" s="57">
        <v>1880</v>
      </c>
      <c r="N29" s="56">
        <f t="shared" si="6"/>
        <v>112569.63228414721</v>
      </c>
      <c r="O29" s="64">
        <f t="shared" si="7"/>
        <v>61.452241283627814</v>
      </c>
      <c r="P29" s="57">
        <v>1880</v>
      </c>
      <c r="Q29" s="56">
        <f t="shared" si="8"/>
        <v>115530.21361322029</v>
      </c>
      <c r="R29" s="64">
        <f t="shared" si="9"/>
        <v>63.541617487271161</v>
      </c>
      <c r="S29" s="57">
        <v>1880</v>
      </c>
      <c r="T29" s="56">
        <f t="shared" si="10"/>
        <v>119458.24087606979</v>
      </c>
    </row>
    <row r="30" spans="1:20" x14ac:dyDescent="0.15">
      <c r="A30" s="20" t="s">
        <v>58</v>
      </c>
      <c r="B30" s="75" t="s">
        <v>74</v>
      </c>
      <c r="C30" s="17" t="s">
        <v>68</v>
      </c>
      <c r="D30" s="55">
        <f t="shared" si="0"/>
        <v>5640</v>
      </c>
      <c r="E30" s="56">
        <f t="shared" si="1"/>
        <v>347558.08677343733</v>
      </c>
      <c r="F30" s="64">
        <v>56.599595744680855</v>
      </c>
      <c r="G30" s="57">
        <v>0</v>
      </c>
      <c r="H30" s="56">
        <f t="shared" si="2"/>
        <v>0</v>
      </c>
      <c r="I30" s="64">
        <f t="shared" si="3"/>
        <v>58.139104748936177</v>
      </c>
      <c r="J30" s="57">
        <v>0</v>
      </c>
      <c r="K30" s="56">
        <f t="shared" si="4"/>
        <v>0</v>
      </c>
      <c r="L30" s="64">
        <f t="shared" si="5"/>
        <v>59.87746398092937</v>
      </c>
      <c r="M30" s="57">
        <v>1880</v>
      </c>
      <c r="N30" s="56">
        <f t="shared" si="6"/>
        <v>112569.63228414721</v>
      </c>
      <c r="O30" s="64">
        <f t="shared" si="7"/>
        <v>61.452241283627814</v>
      </c>
      <c r="P30" s="57">
        <v>1880</v>
      </c>
      <c r="Q30" s="56">
        <f t="shared" si="8"/>
        <v>115530.21361322029</v>
      </c>
      <c r="R30" s="64">
        <f t="shared" si="9"/>
        <v>63.541617487271161</v>
      </c>
      <c r="S30" s="57">
        <v>1880</v>
      </c>
      <c r="T30" s="56">
        <f t="shared" si="10"/>
        <v>119458.24087606979</v>
      </c>
    </row>
    <row r="31" spans="1:20" x14ac:dyDescent="0.15">
      <c r="A31" s="20" t="s">
        <v>58</v>
      </c>
      <c r="B31" s="75" t="s">
        <v>81</v>
      </c>
      <c r="C31" s="17" t="s">
        <v>64</v>
      </c>
      <c r="D31" s="55">
        <f t="shared" si="0"/>
        <v>9400</v>
      </c>
      <c r="E31" s="56">
        <f t="shared" si="1"/>
        <v>540792.43775284349</v>
      </c>
      <c r="F31" s="64">
        <v>54.341265957446808</v>
      </c>
      <c r="G31" s="57">
        <v>1880</v>
      </c>
      <c r="H31" s="56">
        <f t="shared" si="2"/>
        <v>102161.58</v>
      </c>
      <c r="I31" s="64">
        <f t="shared" si="3"/>
        <v>55.819348391489363</v>
      </c>
      <c r="J31" s="57">
        <v>1880</v>
      </c>
      <c r="K31" s="56">
        <f t="shared" si="4"/>
        <v>104940.37497600001</v>
      </c>
      <c r="L31" s="64">
        <f t="shared" si="5"/>
        <v>57.488346908394895</v>
      </c>
      <c r="M31" s="57">
        <v>1880</v>
      </c>
      <c r="N31" s="56">
        <f t="shared" si="6"/>
        <v>108078.0921877824</v>
      </c>
      <c r="O31" s="64">
        <f t="shared" si="7"/>
        <v>59.000290432085684</v>
      </c>
      <c r="P31" s="57">
        <v>1880</v>
      </c>
      <c r="Q31" s="56">
        <f t="shared" si="8"/>
        <v>110920.54601232108</v>
      </c>
      <c r="R31" s="64">
        <f t="shared" si="9"/>
        <v>61.006300306776595</v>
      </c>
      <c r="S31" s="57">
        <v>1880</v>
      </c>
      <c r="T31" s="56">
        <f t="shared" si="10"/>
        <v>114691.84457674</v>
      </c>
    </row>
    <row r="32" spans="1:20" x14ac:dyDescent="0.15">
      <c r="A32" s="20" t="s">
        <v>58</v>
      </c>
      <c r="B32" s="75" t="s">
        <v>81</v>
      </c>
      <c r="C32" s="17" t="s">
        <v>64</v>
      </c>
      <c r="D32" s="55">
        <f t="shared" si="0"/>
        <v>9400</v>
      </c>
      <c r="E32" s="56">
        <f t="shared" si="1"/>
        <v>540792.43775284349</v>
      </c>
      <c r="F32" s="64">
        <v>54.341265957446808</v>
      </c>
      <c r="G32" s="57">
        <v>1880</v>
      </c>
      <c r="H32" s="56">
        <f t="shared" si="2"/>
        <v>102161.58</v>
      </c>
      <c r="I32" s="64">
        <f t="shared" si="3"/>
        <v>55.819348391489363</v>
      </c>
      <c r="J32" s="57">
        <v>1880</v>
      </c>
      <c r="K32" s="56">
        <f t="shared" si="4"/>
        <v>104940.37497600001</v>
      </c>
      <c r="L32" s="64">
        <f t="shared" si="5"/>
        <v>57.488346908394895</v>
      </c>
      <c r="M32" s="57">
        <v>1880</v>
      </c>
      <c r="N32" s="56">
        <f t="shared" si="6"/>
        <v>108078.0921877824</v>
      </c>
      <c r="O32" s="64">
        <f t="shared" si="7"/>
        <v>59.000290432085684</v>
      </c>
      <c r="P32" s="57">
        <v>1880</v>
      </c>
      <c r="Q32" s="56">
        <f t="shared" si="8"/>
        <v>110920.54601232108</v>
      </c>
      <c r="R32" s="64">
        <f t="shared" si="9"/>
        <v>61.006300306776595</v>
      </c>
      <c r="S32" s="57">
        <v>1880</v>
      </c>
      <c r="T32" s="56">
        <f t="shared" si="10"/>
        <v>114691.84457674</v>
      </c>
    </row>
    <row r="33" spans="1:20" x14ac:dyDescent="0.15">
      <c r="A33" s="20" t="s">
        <v>58</v>
      </c>
      <c r="B33" s="75" t="s">
        <v>81</v>
      </c>
      <c r="C33" s="17" t="s">
        <v>64</v>
      </c>
      <c r="D33" s="55">
        <f t="shared" si="0"/>
        <v>9400</v>
      </c>
      <c r="E33" s="56">
        <f t="shared" si="1"/>
        <v>540792.43775284349</v>
      </c>
      <c r="F33" s="64">
        <v>54.341265957446808</v>
      </c>
      <c r="G33" s="57">
        <v>1880</v>
      </c>
      <c r="H33" s="56">
        <f t="shared" si="2"/>
        <v>102161.58</v>
      </c>
      <c r="I33" s="64">
        <f t="shared" si="3"/>
        <v>55.819348391489363</v>
      </c>
      <c r="J33" s="57">
        <v>1880</v>
      </c>
      <c r="K33" s="56">
        <f t="shared" si="4"/>
        <v>104940.37497600001</v>
      </c>
      <c r="L33" s="64">
        <f t="shared" si="5"/>
        <v>57.488346908394895</v>
      </c>
      <c r="M33" s="57">
        <v>1880</v>
      </c>
      <c r="N33" s="56">
        <f t="shared" si="6"/>
        <v>108078.0921877824</v>
      </c>
      <c r="O33" s="64">
        <f t="shared" si="7"/>
        <v>59.000290432085684</v>
      </c>
      <c r="P33" s="57">
        <v>1880</v>
      </c>
      <c r="Q33" s="56">
        <f t="shared" si="8"/>
        <v>110920.54601232108</v>
      </c>
      <c r="R33" s="64">
        <f t="shared" si="9"/>
        <v>61.006300306776595</v>
      </c>
      <c r="S33" s="57">
        <v>1880</v>
      </c>
      <c r="T33" s="56">
        <f t="shared" si="10"/>
        <v>114691.84457674</v>
      </c>
    </row>
    <row r="34" spans="1:20" x14ac:dyDescent="0.15">
      <c r="A34" s="20" t="s">
        <v>58</v>
      </c>
      <c r="B34" s="75" t="s">
        <v>81</v>
      </c>
      <c r="C34" s="17" t="s">
        <v>64</v>
      </c>
      <c r="D34" s="55">
        <f t="shared" si="0"/>
        <v>9400</v>
      </c>
      <c r="E34" s="56">
        <f t="shared" si="1"/>
        <v>540792.43775284349</v>
      </c>
      <c r="F34" s="64">
        <v>54.341265957446808</v>
      </c>
      <c r="G34" s="57">
        <v>1880</v>
      </c>
      <c r="H34" s="56">
        <f t="shared" si="2"/>
        <v>102161.58</v>
      </c>
      <c r="I34" s="64">
        <f t="shared" si="3"/>
        <v>55.819348391489363</v>
      </c>
      <c r="J34" s="57">
        <v>1880</v>
      </c>
      <c r="K34" s="56">
        <f t="shared" si="4"/>
        <v>104940.37497600001</v>
      </c>
      <c r="L34" s="64">
        <f t="shared" si="5"/>
        <v>57.488346908394895</v>
      </c>
      <c r="M34" s="57">
        <v>1880</v>
      </c>
      <c r="N34" s="56">
        <f t="shared" si="6"/>
        <v>108078.0921877824</v>
      </c>
      <c r="O34" s="64">
        <f t="shared" si="7"/>
        <v>59.000290432085684</v>
      </c>
      <c r="P34" s="57">
        <v>1880</v>
      </c>
      <c r="Q34" s="56">
        <f t="shared" si="8"/>
        <v>110920.54601232108</v>
      </c>
      <c r="R34" s="64">
        <f t="shared" si="9"/>
        <v>61.006300306776595</v>
      </c>
      <c r="S34" s="57">
        <v>1880</v>
      </c>
      <c r="T34" s="56">
        <f t="shared" si="10"/>
        <v>114691.84457674</v>
      </c>
    </row>
    <row r="35" spans="1:20" x14ac:dyDescent="0.15">
      <c r="A35" s="20" t="s">
        <v>58</v>
      </c>
      <c r="B35" s="75" t="s">
        <v>81</v>
      </c>
      <c r="C35" s="17" t="s">
        <v>64</v>
      </c>
      <c r="D35" s="55">
        <f t="shared" si="0"/>
        <v>9400</v>
      </c>
      <c r="E35" s="56">
        <f t="shared" si="1"/>
        <v>540792.43775284349</v>
      </c>
      <c r="F35" s="64">
        <v>54.341265957446808</v>
      </c>
      <c r="G35" s="57">
        <v>1880</v>
      </c>
      <c r="H35" s="56">
        <f t="shared" si="2"/>
        <v>102161.58</v>
      </c>
      <c r="I35" s="64">
        <f t="shared" si="3"/>
        <v>55.819348391489363</v>
      </c>
      <c r="J35" s="57">
        <v>1880</v>
      </c>
      <c r="K35" s="56">
        <f t="shared" si="4"/>
        <v>104940.37497600001</v>
      </c>
      <c r="L35" s="64">
        <f t="shared" si="5"/>
        <v>57.488346908394895</v>
      </c>
      <c r="M35" s="57">
        <v>1880</v>
      </c>
      <c r="N35" s="56">
        <f t="shared" si="6"/>
        <v>108078.0921877824</v>
      </c>
      <c r="O35" s="64">
        <f t="shared" si="7"/>
        <v>59.000290432085684</v>
      </c>
      <c r="P35" s="57">
        <v>1880</v>
      </c>
      <c r="Q35" s="56">
        <f t="shared" si="8"/>
        <v>110920.54601232108</v>
      </c>
      <c r="R35" s="64">
        <f t="shared" si="9"/>
        <v>61.006300306776595</v>
      </c>
      <c r="S35" s="57">
        <v>1880</v>
      </c>
      <c r="T35" s="56">
        <f t="shared" si="10"/>
        <v>114691.84457674</v>
      </c>
    </row>
    <row r="36" spans="1:20" x14ac:dyDescent="0.15">
      <c r="A36" s="20" t="s">
        <v>58</v>
      </c>
      <c r="B36" s="75" t="s">
        <v>81</v>
      </c>
      <c r="C36" s="17" t="s">
        <v>64</v>
      </c>
      <c r="D36" s="55">
        <f t="shared" si="0"/>
        <v>9400</v>
      </c>
      <c r="E36" s="56">
        <f t="shared" si="1"/>
        <v>540792.43775284349</v>
      </c>
      <c r="F36" s="64">
        <v>54.341265957446808</v>
      </c>
      <c r="G36" s="57">
        <v>1880</v>
      </c>
      <c r="H36" s="56">
        <f t="shared" si="2"/>
        <v>102161.58</v>
      </c>
      <c r="I36" s="64">
        <f t="shared" si="3"/>
        <v>55.819348391489363</v>
      </c>
      <c r="J36" s="57">
        <v>1880</v>
      </c>
      <c r="K36" s="56">
        <f t="shared" si="4"/>
        <v>104940.37497600001</v>
      </c>
      <c r="L36" s="64">
        <f t="shared" si="5"/>
        <v>57.488346908394895</v>
      </c>
      <c r="M36" s="57">
        <v>1880</v>
      </c>
      <c r="N36" s="56">
        <f t="shared" si="6"/>
        <v>108078.0921877824</v>
      </c>
      <c r="O36" s="64">
        <f t="shared" si="7"/>
        <v>59.000290432085684</v>
      </c>
      <c r="P36" s="57">
        <v>1880</v>
      </c>
      <c r="Q36" s="56">
        <f t="shared" si="8"/>
        <v>110920.54601232108</v>
      </c>
      <c r="R36" s="64">
        <f t="shared" si="9"/>
        <v>61.006300306776595</v>
      </c>
      <c r="S36" s="57">
        <v>1880</v>
      </c>
      <c r="T36" s="56">
        <f t="shared" si="10"/>
        <v>114691.84457674</v>
      </c>
    </row>
    <row r="37" spans="1:20" x14ac:dyDescent="0.15">
      <c r="A37" s="20" t="s">
        <v>58</v>
      </c>
      <c r="B37" s="75" t="s">
        <v>81</v>
      </c>
      <c r="C37" s="17" t="s">
        <v>64</v>
      </c>
      <c r="D37" s="55">
        <f t="shared" si="0"/>
        <v>9400</v>
      </c>
      <c r="E37" s="56">
        <f t="shared" si="1"/>
        <v>540792.43775284349</v>
      </c>
      <c r="F37" s="64">
        <v>54.341265957446808</v>
      </c>
      <c r="G37" s="57">
        <v>1880</v>
      </c>
      <c r="H37" s="56">
        <f t="shared" si="2"/>
        <v>102161.58</v>
      </c>
      <c r="I37" s="64">
        <f t="shared" si="3"/>
        <v>55.819348391489363</v>
      </c>
      <c r="J37" s="57">
        <v>1880</v>
      </c>
      <c r="K37" s="56">
        <f t="shared" si="4"/>
        <v>104940.37497600001</v>
      </c>
      <c r="L37" s="64">
        <f t="shared" si="5"/>
        <v>57.488346908394895</v>
      </c>
      <c r="M37" s="57">
        <v>1880</v>
      </c>
      <c r="N37" s="56">
        <f t="shared" si="6"/>
        <v>108078.0921877824</v>
      </c>
      <c r="O37" s="64">
        <f t="shared" si="7"/>
        <v>59.000290432085684</v>
      </c>
      <c r="P37" s="57">
        <v>1880</v>
      </c>
      <c r="Q37" s="56">
        <f t="shared" si="8"/>
        <v>110920.54601232108</v>
      </c>
      <c r="R37" s="64">
        <f t="shared" si="9"/>
        <v>61.006300306776595</v>
      </c>
      <c r="S37" s="57">
        <v>1880</v>
      </c>
      <c r="T37" s="56">
        <f t="shared" si="10"/>
        <v>114691.84457674</v>
      </c>
    </row>
    <row r="38" spans="1:20" x14ac:dyDescent="0.15">
      <c r="A38" s="20" t="s">
        <v>58</v>
      </c>
      <c r="B38" s="75" t="s">
        <v>81</v>
      </c>
      <c r="C38" s="17" t="s">
        <v>64</v>
      </c>
      <c r="D38" s="55">
        <f t="shared" si="0"/>
        <v>9400</v>
      </c>
      <c r="E38" s="56">
        <f t="shared" si="1"/>
        <v>540792.43775284349</v>
      </c>
      <c r="F38" s="64">
        <v>54.341265957446808</v>
      </c>
      <c r="G38" s="57">
        <v>1880</v>
      </c>
      <c r="H38" s="56">
        <f t="shared" si="2"/>
        <v>102161.58</v>
      </c>
      <c r="I38" s="64">
        <f t="shared" si="3"/>
        <v>55.819348391489363</v>
      </c>
      <c r="J38" s="57">
        <v>1880</v>
      </c>
      <c r="K38" s="56">
        <f t="shared" si="4"/>
        <v>104940.37497600001</v>
      </c>
      <c r="L38" s="64">
        <f t="shared" si="5"/>
        <v>57.488346908394895</v>
      </c>
      <c r="M38" s="57">
        <v>1880</v>
      </c>
      <c r="N38" s="56">
        <f t="shared" si="6"/>
        <v>108078.0921877824</v>
      </c>
      <c r="O38" s="64">
        <f t="shared" si="7"/>
        <v>59.000290432085684</v>
      </c>
      <c r="P38" s="57">
        <v>1880</v>
      </c>
      <c r="Q38" s="56">
        <f t="shared" si="8"/>
        <v>110920.54601232108</v>
      </c>
      <c r="R38" s="64">
        <f t="shared" si="9"/>
        <v>61.006300306776595</v>
      </c>
      <c r="S38" s="57">
        <v>1880</v>
      </c>
      <c r="T38" s="56">
        <f t="shared" si="10"/>
        <v>114691.84457674</v>
      </c>
    </row>
    <row r="39" spans="1:20" x14ac:dyDescent="0.15">
      <c r="A39" s="20" t="s">
        <v>58</v>
      </c>
      <c r="B39" s="75" t="s">
        <v>81</v>
      </c>
      <c r="C39" s="17" t="s">
        <v>64</v>
      </c>
      <c r="D39" s="55">
        <f t="shared" si="0"/>
        <v>9400</v>
      </c>
      <c r="E39" s="56">
        <f t="shared" si="1"/>
        <v>540792.43775284349</v>
      </c>
      <c r="F39" s="64">
        <v>54.341265957446808</v>
      </c>
      <c r="G39" s="57">
        <v>1880</v>
      </c>
      <c r="H39" s="56">
        <f t="shared" si="2"/>
        <v>102161.58</v>
      </c>
      <c r="I39" s="64">
        <f t="shared" si="3"/>
        <v>55.819348391489363</v>
      </c>
      <c r="J39" s="57">
        <v>1880</v>
      </c>
      <c r="K39" s="56">
        <f t="shared" si="4"/>
        <v>104940.37497600001</v>
      </c>
      <c r="L39" s="64">
        <f t="shared" si="5"/>
        <v>57.488346908394895</v>
      </c>
      <c r="M39" s="57">
        <v>1880</v>
      </c>
      <c r="N39" s="56">
        <f t="shared" si="6"/>
        <v>108078.0921877824</v>
      </c>
      <c r="O39" s="64">
        <f t="shared" si="7"/>
        <v>59.000290432085684</v>
      </c>
      <c r="P39" s="57">
        <v>1880</v>
      </c>
      <c r="Q39" s="56">
        <f t="shared" si="8"/>
        <v>110920.54601232108</v>
      </c>
      <c r="R39" s="64">
        <f t="shared" si="9"/>
        <v>61.006300306776595</v>
      </c>
      <c r="S39" s="57">
        <v>1880</v>
      </c>
      <c r="T39" s="56">
        <f t="shared" si="10"/>
        <v>114691.84457674</v>
      </c>
    </row>
    <row r="40" spans="1:20" x14ac:dyDescent="0.15">
      <c r="A40" s="20" t="s">
        <v>58</v>
      </c>
      <c r="B40" s="75" t="s">
        <v>81</v>
      </c>
      <c r="C40" s="17" t="s">
        <v>64</v>
      </c>
      <c r="D40" s="55">
        <f t="shared" si="0"/>
        <v>9400</v>
      </c>
      <c r="E40" s="56">
        <f t="shared" si="1"/>
        <v>540792.43775284349</v>
      </c>
      <c r="F40" s="64">
        <v>54.341265957446808</v>
      </c>
      <c r="G40" s="57">
        <v>1880</v>
      </c>
      <c r="H40" s="56">
        <f t="shared" si="2"/>
        <v>102161.58</v>
      </c>
      <c r="I40" s="64">
        <f t="shared" si="3"/>
        <v>55.819348391489363</v>
      </c>
      <c r="J40" s="57">
        <v>1880</v>
      </c>
      <c r="K40" s="56">
        <f t="shared" si="4"/>
        <v>104940.37497600001</v>
      </c>
      <c r="L40" s="64">
        <f t="shared" si="5"/>
        <v>57.488346908394895</v>
      </c>
      <c r="M40" s="57">
        <v>1880</v>
      </c>
      <c r="N40" s="56">
        <f t="shared" si="6"/>
        <v>108078.0921877824</v>
      </c>
      <c r="O40" s="64">
        <f t="shared" si="7"/>
        <v>59.000290432085684</v>
      </c>
      <c r="P40" s="57">
        <v>1880</v>
      </c>
      <c r="Q40" s="56">
        <f t="shared" si="8"/>
        <v>110920.54601232108</v>
      </c>
      <c r="R40" s="64">
        <f t="shared" si="9"/>
        <v>61.006300306776595</v>
      </c>
      <c r="S40" s="57">
        <v>1880</v>
      </c>
      <c r="T40" s="56">
        <f t="shared" si="10"/>
        <v>114691.84457674</v>
      </c>
    </row>
    <row r="41" spans="1:20" x14ac:dyDescent="0.15">
      <c r="A41" s="20" t="s">
        <v>58</v>
      </c>
      <c r="B41" s="75" t="s">
        <v>81</v>
      </c>
      <c r="C41" s="17" t="s">
        <v>64</v>
      </c>
      <c r="D41" s="55">
        <f t="shared" si="0"/>
        <v>9400</v>
      </c>
      <c r="E41" s="56">
        <f t="shared" si="1"/>
        <v>540792.43775284349</v>
      </c>
      <c r="F41" s="64">
        <v>54.341265957446808</v>
      </c>
      <c r="G41" s="57">
        <v>1880</v>
      </c>
      <c r="H41" s="56">
        <f t="shared" si="2"/>
        <v>102161.58</v>
      </c>
      <c r="I41" s="64">
        <f t="shared" si="3"/>
        <v>55.819348391489363</v>
      </c>
      <c r="J41" s="57">
        <v>1880</v>
      </c>
      <c r="K41" s="56">
        <f t="shared" si="4"/>
        <v>104940.37497600001</v>
      </c>
      <c r="L41" s="64">
        <f t="shared" si="5"/>
        <v>57.488346908394895</v>
      </c>
      <c r="M41" s="57">
        <v>1880</v>
      </c>
      <c r="N41" s="56">
        <f t="shared" si="6"/>
        <v>108078.0921877824</v>
      </c>
      <c r="O41" s="64">
        <f t="shared" si="7"/>
        <v>59.000290432085684</v>
      </c>
      <c r="P41" s="57">
        <v>1880</v>
      </c>
      <c r="Q41" s="56">
        <f t="shared" si="8"/>
        <v>110920.54601232108</v>
      </c>
      <c r="R41" s="64">
        <f t="shared" si="9"/>
        <v>61.006300306776595</v>
      </c>
      <c r="S41" s="57">
        <v>1880</v>
      </c>
      <c r="T41" s="56">
        <f t="shared" si="10"/>
        <v>114691.84457674</v>
      </c>
    </row>
    <row r="42" spans="1:20" x14ac:dyDescent="0.15">
      <c r="A42" s="20" t="s">
        <v>58</v>
      </c>
      <c r="B42" s="75" t="s">
        <v>81</v>
      </c>
      <c r="C42" s="17" t="s">
        <v>64</v>
      </c>
      <c r="D42" s="55">
        <f t="shared" si="0"/>
        <v>9400</v>
      </c>
      <c r="E42" s="56">
        <f t="shared" si="1"/>
        <v>540792.43775284349</v>
      </c>
      <c r="F42" s="64">
        <v>54.341265957446808</v>
      </c>
      <c r="G42" s="57">
        <v>1880</v>
      </c>
      <c r="H42" s="56">
        <f t="shared" si="2"/>
        <v>102161.58</v>
      </c>
      <c r="I42" s="64">
        <f t="shared" si="3"/>
        <v>55.819348391489363</v>
      </c>
      <c r="J42" s="57">
        <v>1880</v>
      </c>
      <c r="K42" s="56">
        <f t="shared" si="4"/>
        <v>104940.37497600001</v>
      </c>
      <c r="L42" s="64">
        <f t="shared" si="5"/>
        <v>57.488346908394895</v>
      </c>
      <c r="M42" s="57">
        <v>1880</v>
      </c>
      <c r="N42" s="56">
        <f t="shared" si="6"/>
        <v>108078.0921877824</v>
      </c>
      <c r="O42" s="64">
        <f t="shared" si="7"/>
        <v>59.000290432085684</v>
      </c>
      <c r="P42" s="57">
        <v>1880</v>
      </c>
      <c r="Q42" s="56">
        <f t="shared" si="8"/>
        <v>110920.54601232108</v>
      </c>
      <c r="R42" s="64">
        <f t="shared" si="9"/>
        <v>61.006300306776595</v>
      </c>
      <c r="S42" s="57">
        <v>1880</v>
      </c>
      <c r="T42" s="56">
        <f t="shared" si="10"/>
        <v>114691.84457674</v>
      </c>
    </row>
    <row r="43" spans="1:20" x14ac:dyDescent="0.15">
      <c r="A43" s="20" t="s">
        <v>58</v>
      </c>
      <c r="B43" s="75" t="s">
        <v>81</v>
      </c>
      <c r="C43" s="17" t="s">
        <v>64</v>
      </c>
      <c r="D43" s="55">
        <f t="shared" si="0"/>
        <v>9400</v>
      </c>
      <c r="E43" s="56">
        <f t="shared" si="1"/>
        <v>540792.43775284349</v>
      </c>
      <c r="F43" s="64">
        <v>54.341265957446808</v>
      </c>
      <c r="G43" s="57">
        <v>1880</v>
      </c>
      <c r="H43" s="56">
        <f t="shared" si="2"/>
        <v>102161.58</v>
      </c>
      <c r="I43" s="64">
        <f t="shared" si="3"/>
        <v>55.819348391489363</v>
      </c>
      <c r="J43" s="57">
        <v>1880</v>
      </c>
      <c r="K43" s="56">
        <f t="shared" si="4"/>
        <v>104940.37497600001</v>
      </c>
      <c r="L43" s="64">
        <f t="shared" si="5"/>
        <v>57.488346908394895</v>
      </c>
      <c r="M43" s="57">
        <v>1880</v>
      </c>
      <c r="N43" s="56">
        <f t="shared" si="6"/>
        <v>108078.0921877824</v>
      </c>
      <c r="O43" s="64">
        <f t="shared" si="7"/>
        <v>59.000290432085684</v>
      </c>
      <c r="P43" s="57">
        <v>1880</v>
      </c>
      <c r="Q43" s="56">
        <f t="shared" si="8"/>
        <v>110920.54601232108</v>
      </c>
      <c r="R43" s="64">
        <f t="shared" si="9"/>
        <v>61.006300306776595</v>
      </c>
      <c r="S43" s="57">
        <v>1880</v>
      </c>
      <c r="T43" s="56">
        <f t="shared" si="10"/>
        <v>114691.84457674</v>
      </c>
    </row>
    <row r="44" spans="1:20" x14ac:dyDescent="0.15">
      <c r="A44" s="20" t="s">
        <v>58</v>
      </c>
      <c r="B44" s="75" t="s">
        <v>81</v>
      </c>
      <c r="C44" s="17" t="s">
        <v>64</v>
      </c>
      <c r="D44" s="55">
        <f t="shared" si="0"/>
        <v>9400</v>
      </c>
      <c r="E44" s="56">
        <f t="shared" si="1"/>
        <v>540792.43775284349</v>
      </c>
      <c r="F44" s="64">
        <v>54.341265957446808</v>
      </c>
      <c r="G44" s="57">
        <v>1880</v>
      </c>
      <c r="H44" s="56">
        <f t="shared" si="2"/>
        <v>102161.58</v>
      </c>
      <c r="I44" s="64">
        <f t="shared" si="3"/>
        <v>55.819348391489363</v>
      </c>
      <c r="J44" s="57">
        <v>1880</v>
      </c>
      <c r="K44" s="56">
        <f t="shared" si="4"/>
        <v>104940.37497600001</v>
      </c>
      <c r="L44" s="64">
        <f t="shared" si="5"/>
        <v>57.488346908394895</v>
      </c>
      <c r="M44" s="57">
        <v>1880</v>
      </c>
      <c r="N44" s="56">
        <f t="shared" si="6"/>
        <v>108078.0921877824</v>
      </c>
      <c r="O44" s="64">
        <f t="shared" si="7"/>
        <v>59.000290432085684</v>
      </c>
      <c r="P44" s="57">
        <v>1880</v>
      </c>
      <c r="Q44" s="56">
        <f t="shared" si="8"/>
        <v>110920.54601232108</v>
      </c>
      <c r="R44" s="64">
        <f t="shared" si="9"/>
        <v>61.006300306776595</v>
      </c>
      <c r="S44" s="57">
        <v>1880</v>
      </c>
      <c r="T44" s="56">
        <f t="shared" si="10"/>
        <v>114691.84457674</v>
      </c>
    </row>
    <row r="45" spans="1:20" x14ac:dyDescent="0.15">
      <c r="A45" s="20" t="s">
        <v>58</v>
      </c>
      <c r="B45" s="75" t="s">
        <v>81</v>
      </c>
      <c r="C45" s="17" t="s">
        <v>64</v>
      </c>
      <c r="D45" s="55">
        <f t="shared" si="0"/>
        <v>9400</v>
      </c>
      <c r="E45" s="56">
        <f t="shared" si="1"/>
        <v>540792.43775284349</v>
      </c>
      <c r="F45" s="64">
        <v>54.341265957446808</v>
      </c>
      <c r="G45" s="57">
        <v>1880</v>
      </c>
      <c r="H45" s="56">
        <f t="shared" si="2"/>
        <v>102161.58</v>
      </c>
      <c r="I45" s="64">
        <f t="shared" si="3"/>
        <v>55.819348391489363</v>
      </c>
      <c r="J45" s="57">
        <v>1880</v>
      </c>
      <c r="K45" s="56">
        <f t="shared" si="4"/>
        <v>104940.37497600001</v>
      </c>
      <c r="L45" s="64">
        <f t="shared" si="5"/>
        <v>57.488346908394895</v>
      </c>
      <c r="M45" s="57">
        <v>1880</v>
      </c>
      <c r="N45" s="56">
        <f t="shared" si="6"/>
        <v>108078.0921877824</v>
      </c>
      <c r="O45" s="64">
        <f t="shared" si="7"/>
        <v>59.000290432085684</v>
      </c>
      <c r="P45" s="57">
        <v>1880</v>
      </c>
      <c r="Q45" s="56">
        <f t="shared" si="8"/>
        <v>110920.54601232108</v>
      </c>
      <c r="R45" s="64">
        <f t="shared" si="9"/>
        <v>61.006300306776595</v>
      </c>
      <c r="S45" s="57">
        <v>1880</v>
      </c>
      <c r="T45" s="56">
        <f t="shared" si="10"/>
        <v>114691.84457674</v>
      </c>
    </row>
    <row r="46" spans="1:20" x14ac:dyDescent="0.15">
      <c r="A46" s="20" t="s">
        <v>58</v>
      </c>
      <c r="B46" s="75" t="s">
        <v>81</v>
      </c>
      <c r="C46" s="17" t="s">
        <v>64</v>
      </c>
      <c r="D46" s="55">
        <f t="shared" si="0"/>
        <v>9400</v>
      </c>
      <c r="E46" s="56">
        <f t="shared" si="1"/>
        <v>540792.43775284349</v>
      </c>
      <c r="F46" s="64">
        <v>54.341265957446808</v>
      </c>
      <c r="G46" s="57">
        <v>1880</v>
      </c>
      <c r="H46" s="56">
        <f t="shared" si="2"/>
        <v>102161.58</v>
      </c>
      <c r="I46" s="64">
        <f t="shared" si="3"/>
        <v>55.819348391489363</v>
      </c>
      <c r="J46" s="57">
        <v>1880</v>
      </c>
      <c r="K46" s="56">
        <f t="shared" si="4"/>
        <v>104940.37497600001</v>
      </c>
      <c r="L46" s="64">
        <f t="shared" si="5"/>
        <v>57.488346908394895</v>
      </c>
      <c r="M46" s="57">
        <v>1880</v>
      </c>
      <c r="N46" s="56">
        <f t="shared" si="6"/>
        <v>108078.0921877824</v>
      </c>
      <c r="O46" s="64">
        <f t="shared" si="7"/>
        <v>59.000290432085684</v>
      </c>
      <c r="P46" s="57">
        <v>1880</v>
      </c>
      <c r="Q46" s="56">
        <f t="shared" si="8"/>
        <v>110920.54601232108</v>
      </c>
      <c r="R46" s="64">
        <f t="shared" si="9"/>
        <v>61.006300306776595</v>
      </c>
      <c r="S46" s="57">
        <v>1880</v>
      </c>
      <c r="T46" s="56">
        <f t="shared" si="10"/>
        <v>114691.84457674</v>
      </c>
    </row>
    <row r="47" spans="1:20" x14ac:dyDescent="0.15">
      <c r="A47" s="20" t="s">
        <v>58</v>
      </c>
      <c r="B47" s="75" t="s">
        <v>81</v>
      </c>
      <c r="C47" s="17" t="s">
        <v>64</v>
      </c>
      <c r="D47" s="55">
        <f t="shared" si="0"/>
        <v>9400</v>
      </c>
      <c r="E47" s="56">
        <f t="shared" si="1"/>
        <v>540792.43775284349</v>
      </c>
      <c r="F47" s="64">
        <v>54.341265957446808</v>
      </c>
      <c r="G47" s="57">
        <v>1880</v>
      </c>
      <c r="H47" s="56">
        <f t="shared" si="2"/>
        <v>102161.58</v>
      </c>
      <c r="I47" s="64">
        <f t="shared" si="3"/>
        <v>55.819348391489363</v>
      </c>
      <c r="J47" s="57">
        <v>1880</v>
      </c>
      <c r="K47" s="56">
        <f t="shared" si="4"/>
        <v>104940.37497600001</v>
      </c>
      <c r="L47" s="64">
        <f t="shared" si="5"/>
        <v>57.488346908394895</v>
      </c>
      <c r="M47" s="57">
        <v>1880</v>
      </c>
      <c r="N47" s="56">
        <f t="shared" si="6"/>
        <v>108078.0921877824</v>
      </c>
      <c r="O47" s="64">
        <f t="shared" si="7"/>
        <v>59.000290432085684</v>
      </c>
      <c r="P47" s="57">
        <v>1880</v>
      </c>
      <c r="Q47" s="56">
        <f t="shared" si="8"/>
        <v>110920.54601232108</v>
      </c>
      <c r="R47" s="64">
        <f t="shared" si="9"/>
        <v>61.006300306776595</v>
      </c>
      <c r="S47" s="57">
        <v>1880</v>
      </c>
      <c r="T47" s="56">
        <f t="shared" si="10"/>
        <v>114691.84457674</v>
      </c>
    </row>
    <row r="48" spans="1:20" x14ac:dyDescent="0.15">
      <c r="A48" s="20" t="s">
        <v>58</v>
      </c>
      <c r="B48" s="75" t="s">
        <v>81</v>
      </c>
      <c r="C48" s="17" t="s">
        <v>64</v>
      </c>
      <c r="D48" s="55">
        <f t="shared" si="0"/>
        <v>7520</v>
      </c>
      <c r="E48" s="56">
        <f t="shared" si="1"/>
        <v>438630.85775284347</v>
      </c>
      <c r="F48" s="64">
        <v>54.341265957446808</v>
      </c>
      <c r="G48" s="57">
        <v>0</v>
      </c>
      <c r="H48" s="56">
        <f t="shared" si="2"/>
        <v>0</v>
      </c>
      <c r="I48" s="64">
        <f t="shared" si="3"/>
        <v>55.819348391489363</v>
      </c>
      <c r="J48" s="57">
        <v>1880</v>
      </c>
      <c r="K48" s="56">
        <f t="shared" si="4"/>
        <v>104940.37497600001</v>
      </c>
      <c r="L48" s="64">
        <f t="shared" si="5"/>
        <v>57.488346908394895</v>
      </c>
      <c r="M48" s="57">
        <v>1880</v>
      </c>
      <c r="N48" s="56">
        <f t="shared" si="6"/>
        <v>108078.0921877824</v>
      </c>
      <c r="O48" s="64">
        <f t="shared" si="7"/>
        <v>59.000290432085684</v>
      </c>
      <c r="P48" s="57">
        <v>1880</v>
      </c>
      <c r="Q48" s="56">
        <f t="shared" si="8"/>
        <v>110920.54601232108</v>
      </c>
      <c r="R48" s="64">
        <f t="shared" si="9"/>
        <v>61.006300306776595</v>
      </c>
      <c r="S48" s="57">
        <v>1880</v>
      </c>
      <c r="T48" s="56">
        <f t="shared" si="10"/>
        <v>114691.84457674</v>
      </c>
    </row>
    <row r="49" spans="1:20" x14ac:dyDescent="0.15">
      <c r="A49" s="20" t="s">
        <v>58</v>
      </c>
      <c r="B49" s="75" t="s">
        <v>81</v>
      </c>
      <c r="C49" s="17" t="s">
        <v>64</v>
      </c>
      <c r="D49" s="55">
        <f t="shared" si="0"/>
        <v>7520</v>
      </c>
      <c r="E49" s="56">
        <f t="shared" si="1"/>
        <v>438630.85775284347</v>
      </c>
      <c r="F49" s="64">
        <v>54.341265957446808</v>
      </c>
      <c r="G49" s="57">
        <v>0</v>
      </c>
      <c r="H49" s="56">
        <f t="shared" si="2"/>
        <v>0</v>
      </c>
      <c r="I49" s="64">
        <f t="shared" si="3"/>
        <v>55.819348391489363</v>
      </c>
      <c r="J49" s="57">
        <v>1880</v>
      </c>
      <c r="K49" s="56">
        <f t="shared" si="4"/>
        <v>104940.37497600001</v>
      </c>
      <c r="L49" s="64">
        <f t="shared" si="5"/>
        <v>57.488346908394895</v>
      </c>
      <c r="M49" s="57">
        <v>1880</v>
      </c>
      <c r="N49" s="56">
        <f t="shared" si="6"/>
        <v>108078.0921877824</v>
      </c>
      <c r="O49" s="64">
        <f t="shared" si="7"/>
        <v>59.000290432085684</v>
      </c>
      <c r="P49" s="57">
        <v>1880</v>
      </c>
      <c r="Q49" s="56">
        <f t="shared" si="8"/>
        <v>110920.54601232108</v>
      </c>
      <c r="R49" s="64">
        <f t="shared" si="9"/>
        <v>61.006300306776595</v>
      </c>
      <c r="S49" s="57">
        <v>1880</v>
      </c>
      <c r="T49" s="56">
        <f t="shared" si="10"/>
        <v>114691.84457674</v>
      </c>
    </row>
    <row r="50" spans="1:20" x14ac:dyDescent="0.15">
      <c r="A50" s="20" t="s">
        <v>58</v>
      </c>
      <c r="B50" s="75" t="s">
        <v>82</v>
      </c>
      <c r="C50" s="17" t="s">
        <v>69</v>
      </c>
      <c r="D50" s="55">
        <f t="shared" si="0"/>
        <v>9400</v>
      </c>
      <c r="E50" s="56">
        <f t="shared" si="1"/>
        <v>550745.00328928221</v>
      </c>
      <c r="F50" s="64">
        <v>55.341344680851066</v>
      </c>
      <c r="G50" s="57">
        <v>1880</v>
      </c>
      <c r="H50" s="56">
        <f t="shared" si="2"/>
        <v>104041.728</v>
      </c>
      <c r="I50" s="64">
        <f t="shared" si="3"/>
        <v>56.846629256170218</v>
      </c>
      <c r="J50" s="57">
        <v>1880</v>
      </c>
      <c r="K50" s="56">
        <f t="shared" si="4"/>
        <v>106871.66300160001</v>
      </c>
      <c r="L50" s="64">
        <f t="shared" si="5"/>
        <v>58.546343470929706</v>
      </c>
      <c r="M50" s="57">
        <v>1880</v>
      </c>
      <c r="N50" s="56">
        <f t="shared" si="6"/>
        <v>110067.12572534785</v>
      </c>
      <c r="O50" s="64">
        <f t="shared" si="7"/>
        <v>60.086112304215156</v>
      </c>
      <c r="P50" s="57">
        <v>1880</v>
      </c>
      <c r="Q50" s="56">
        <f t="shared" si="8"/>
        <v>112961.89113192449</v>
      </c>
      <c r="R50" s="64">
        <f t="shared" si="9"/>
        <v>62.129040122558472</v>
      </c>
      <c r="S50" s="57">
        <v>1880</v>
      </c>
      <c r="T50" s="56">
        <f t="shared" si="10"/>
        <v>116802.59543040993</v>
      </c>
    </row>
    <row r="51" spans="1:20" x14ac:dyDescent="0.15">
      <c r="A51" s="20" t="s">
        <v>58</v>
      </c>
      <c r="B51" s="75" t="s">
        <v>82</v>
      </c>
      <c r="C51" s="17" t="s">
        <v>69</v>
      </c>
      <c r="D51" s="55">
        <f t="shared" si="0"/>
        <v>9400</v>
      </c>
      <c r="E51" s="56">
        <f t="shared" si="1"/>
        <v>550745.00328928221</v>
      </c>
      <c r="F51" s="64">
        <v>55.341344680851066</v>
      </c>
      <c r="G51" s="57">
        <v>1880</v>
      </c>
      <c r="H51" s="56">
        <f t="shared" si="2"/>
        <v>104041.728</v>
      </c>
      <c r="I51" s="64">
        <f t="shared" si="3"/>
        <v>56.846629256170218</v>
      </c>
      <c r="J51" s="57">
        <v>1880</v>
      </c>
      <c r="K51" s="56">
        <f t="shared" si="4"/>
        <v>106871.66300160001</v>
      </c>
      <c r="L51" s="64">
        <f t="shared" si="5"/>
        <v>58.546343470929706</v>
      </c>
      <c r="M51" s="57">
        <v>1880</v>
      </c>
      <c r="N51" s="56">
        <f t="shared" si="6"/>
        <v>110067.12572534785</v>
      </c>
      <c r="O51" s="64">
        <f t="shared" si="7"/>
        <v>60.086112304215156</v>
      </c>
      <c r="P51" s="57">
        <v>1880</v>
      </c>
      <c r="Q51" s="56">
        <f t="shared" si="8"/>
        <v>112961.89113192449</v>
      </c>
      <c r="R51" s="64">
        <f t="shared" si="9"/>
        <v>62.129040122558472</v>
      </c>
      <c r="S51" s="57">
        <v>1880</v>
      </c>
      <c r="T51" s="56">
        <f t="shared" si="10"/>
        <v>116802.59543040993</v>
      </c>
    </row>
    <row r="52" spans="1:20" x14ac:dyDescent="0.15">
      <c r="A52" s="20" t="s">
        <v>58</v>
      </c>
      <c r="B52" s="75" t="s">
        <v>82</v>
      </c>
      <c r="C52" s="17" t="s">
        <v>69</v>
      </c>
      <c r="D52" s="55">
        <f t="shared" si="0"/>
        <v>1880</v>
      </c>
      <c r="E52" s="56">
        <f t="shared" si="1"/>
        <v>104041.728</v>
      </c>
      <c r="F52" s="64">
        <v>55.341344680851066</v>
      </c>
      <c r="G52" s="57">
        <v>1880</v>
      </c>
      <c r="H52" s="56">
        <f t="shared" si="2"/>
        <v>104041.728</v>
      </c>
      <c r="I52" s="64">
        <f t="shared" si="3"/>
        <v>56.846629256170218</v>
      </c>
      <c r="J52" s="57">
        <v>0</v>
      </c>
      <c r="K52" s="56">
        <f t="shared" si="4"/>
        <v>0</v>
      </c>
      <c r="L52" s="64">
        <f t="shared" si="5"/>
        <v>58.546343470929706</v>
      </c>
      <c r="M52" s="57">
        <v>0</v>
      </c>
      <c r="N52" s="56">
        <f t="shared" si="6"/>
        <v>0</v>
      </c>
      <c r="O52" s="64">
        <f t="shared" si="7"/>
        <v>60.086112304215156</v>
      </c>
      <c r="P52" s="57">
        <v>0</v>
      </c>
      <c r="Q52" s="56">
        <f t="shared" si="8"/>
        <v>0</v>
      </c>
      <c r="R52" s="64">
        <f t="shared" si="9"/>
        <v>62.129040122558472</v>
      </c>
      <c r="S52" s="57">
        <v>0</v>
      </c>
      <c r="T52" s="56">
        <f t="shared" si="10"/>
        <v>0</v>
      </c>
    </row>
    <row r="53" spans="1:20" x14ac:dyDescent="0.15">
      <c r="A53" s="20" t="s">
        <v>58</v>
      </c>
      <c r="B53" s="75" t="s">
        <v>82</v>
      </c>
      <c r="C53" s="17" t="s">
        <v>69</v>
      </c>
      <c r="D53" s="55">
        <f t="shared" si="0"/>
        <v>1880</v>
      </c>
      <c r="E53" s="56">
        <f t="shared" si="1"/>
        <v>104041.728</v>
      </c>
      <c r="F53" s="64">
        <v>55.341344680851066</v>
      </c>
      <c r="G53" s="57">
        <v>1880</v>
      </c>
      <c r="H53" s="56">
        <f t="shared" si="2"/>
        <v>104041.728</v>
      </c>
      <c r="I53" s="64">
        <f t="shared" si="3"/>
        <v>56.846629256170218</v>
      </c>
      <c r="J53" s="57">
        <v>0</v>
      </c>
      <c r="K53" s="56">
        <f t="shared" si="4"/>
        <v>0</v>
      </c>
      <c r="L53" s="64">
        <f t="shared" si="5"/>
        <v>58.546343470929706</v>
      </c>
      <c r="M53" s="57">
        <v>0</v>
      </c>
      <c r="N53" s="56">
        <f t="shared" si="6"/>
        <v>0</v>
      </c>
      <c r="O53" s="64">
        <f t="shared" si="7"/>
        <v>60.086112304215156</v>
      </c>
      <c r="P53" s="57">
        <v>0</v>
      </c>
      <c r="Q53" s="56">
        <f t="shared" si="8"/>
        <v>0</v>
      </c>
      <c r="R53" s="64">
        <f t="shared" si="9"/>
        <v>62.129040122558472</v>
      </c>
      <c r="S53" s="57">
        <v>0</v>
      </c>
      <c r="T53" s="56">
        <f t="shared" si="10"/>
        <v>0</v>
      </c>
    </row>
    <row r="54" spans="1:20" x14ac:dyDescent="0.15">
      <c r="A54" s="20" t="s">
        <v>58</v>
      </c>
      <c r="B54" s="75" t="s">
        <v>82</v>
      </c>
      <c r="C54" s="17" t="s">
        <v>69</v>
      </c>
      <c r="D54" s="55">
        <f t="shared" si="0"/>
        <v>1880</v>
      </c>
      <c r="E54" s="56">
        <f t="shared" si="1"/>
        <v>104041.728</v>
      </c>
      <c r="F54" s="64">
        <v>55.341344680851066</v>
      </c>
      <c r="G54" s="57">
        <v>1880</v>
      </c>
      <c r="H54" s="56">
        <f t="shared" si="2"/>
        <v>104041.728</v>
      </c>
      <c r="I54" s="64">
        <f t="shared" si="3"/>
        <v>56.846629256170218</v>
      </c>
      <c r="J54" s="57">
        <v>0</v>
      </c>
      <c r="K54" s="56">
        <f t="shared" si="4"/>
        <v>0</v>
      </c>
      <c r="L54" s="64">
        <f t="shared" si="5"/>
        <v>58.546343470929706</v>
      </c>
      <c r="M54" s="57">
        <v>0</v>
      </c>
      <c r="N54" s="56">
        <f t="shared" si="6"/>
        <v>0</v>
      </c>
      <c r="O54" s="64">
        <f t="shared" si="7"/>
        <v>60.086112304215156</v>
      </c>
      <c r="P54" s="57">
        <v>0</v>
      </c>
      <c r="Q54" s="56">
        <f t="shared" si="8"/>
        <v>0</v>
      </c>
      <c r="R54" s="64">
        <f t="shared" si="9"/>
        <v>62.129040122558472</v>
      </c>
      <c r="S54" s="57">
        <v>0</v>
      </c>
      <c r="T54" s="56">
        <f t="shared" si="10"/>
        <v>0</v>
      </c>
    </row>
    <row r="55" spans="1:20" x14ac:dyDescent="0.15">
      <c r="A55" s="20" t="s">
        <v>58</v>
      </c>
      <c r="B55" s="75" t="s">
        <v>82</v>
      </c>
      <c r="C55" s="17" t="s">
        <v>69</v>
      </c>
      <c r="D55" s="55">
        <f t="shared" si="0"/>
        <v>1880</v>
      </c>
      <c r="E55" s="56">
        <f t="shared" si="1"/>
        <v>104041.728</v>
      </c>
      <c r="F55" s="64">
        <v>55.341344680851066</v>
      </c>
      <c r="G55" s="57">
        <v>1880</v>
      </c>
      <c r="H55" s="56">
        <f t="shared" si="2"/>
        <v>104041.728</v>
      </c>
      <c r="I55" s="64">
        <f t="shared" si="3"/>
        <v>56.846629256170218</v>
      </c>
      <c r="J55" s="57">
        <v>0</v>
      </c>
      <c r="K55" s="56">
        <f t="shared" si="4"/>
        <v>0</v>
      </c>
      <c r="L55" s="64">
        <f t="shared" si="5"/>
        <v>58.546343470929706</v>
      </c>
      <c r="M55" s="57">
        <v>0</v>
      </c>
      <c r="N55" s="56">
        <f t="shared" si="6"/>
        <v>0</v>
      </c>
      <c r="O55" s="64">
        <f t="shared" si="7"/>
        <v>60.086112304215156</v>
      </c>
      <c r="P55" s="57">
        <v>0</v>
      </c>
      <c r="Q55" s="56">
        <f t="shared" si="8"/>
        <v>0</v>
      </c>
      <c r="R55" s="64">
        <f t="shared" si="9"/>
        <v>62.129040122558472</v>
      </c>
      <c r="S55" s="57">
        <v>0</v>
      </c>
      <c r="T55" s="56">
        <f t="shared" si="10"/>
        <v>0</v>
      </c>
    </row>
    <row r="56" spans="1:20" x14ac:dyDescent="0.15">
      <c r="A56" s="20" t="s">
        <v>58</v>
      </c>
      <c r="B56" s="75" t="s">
        <v>82</v>
      </c>
      <c r="C56" s="17" t="s">
        <v>69</v>
      </c>
      <c r="D56" s="55">
        <f t="shared" si="0"/>
        <v>1880</v>
      </c>
      <c r="E56" s="56">
        <f t="shared" si="1"/>
        <v>104041.728</v>
      </c>
      <c r="F56" s="64">
        <v>55.341344680851066</v>
      </c>
      <c r="G56" s="57">
        <v>1880</v>
      </c>
      <c r="H56" s="56">
        <f t="shared" si="2"/>
        <v>104041.728</v>
      </c>
      <c r="I56" s="64">
        <f t="shared" si="3"/>
        <v>56.846629256170218</v>
      </c>
      <c r="J56" s="57">
        <v>0</v>
      </c>
      <c r="K56" s="56">
        <f t="shared" si="4"/>
        <v>0</v>
      </c>
      <c r="L56" s="64">
        <f t="shared" si="5"/>
        <v>58.546343470929706</v>
      </c>
      <c r="M56" s="57">
        <v>0</v>
      </c>
      <c r="N56" s="56">
        <f t="shared" si="6"/>
        <v>0</v>
      </c>
      <c r="O56" s="64">
        <f t="shared" si="7"/>
        <v>60.086112304215156</v>
      </c>
      <c r="P56" s="57">
        <v>0</v>
      </c>
      <c r="Q56" s="56">
        <f t="shared" si="8"/>
        <v>0</v>
      </c>
      <c r="R56" s="64">
        <f t="shared" si="9"/>
        <v>62.129040122558472</v>
      </c>
      <c r="S56" s="57">
        <v>0</v>
      </c>
      <c r="T56" s="56">
        <f t="shared" si="10"/>
        <v>0</v>
      </c>
    </row>
    <row r="57" spans="1:20" x14ac:dyDescent="0.15">
      <c r="A57" s="20" t="s">
        <v>58</v>
      </c>
      <c r="B57" s="75" t="s">
        <v>83</v>
      </c>
      <c r="C57" s="17" t="s">
        <v>92</v>
      </c>
      <c r="D57" s="55">
        <f t="shared" si="0"/>
        <v>7520</v>
      </c>
      <c r="E57" s="56">
        <f t="shared" si="1"/>
        <v>511617.19953576801</v>
      </c>
      <c r="F57" s="64">
        <v>63.383425531914881</v>
      </c>
      <c r="G57" s="57">
        <v>0</v>
      </c>
      <c r="H57" s="56">
        <f t="shared" si="2"/>
        <v>0</v>
      </c>
      <c r="I57" s="64">
        <f t="shared" si="3"/>
        <v>65.107454706382967</v>
      </c>
      <c r="J57" s="57">
        <v>1880</v>
      </c>
      <c r="K57" s="56">
        <f t="shared" si="4"/>
        <v>122402.01484799998</v>
      </c>
      <c r="L57" s="64">
        <f t="shared" si="5"/>
        <v>67.054167602103817</v>
      </c>
      <c r="M57" s="57">
        <v>1880</v>
      </c>
      <c r="N57" s="56">
        <f t="shared" si="6"/>
        <v>126061.83509195517</v>
      </c>
      <c r="O57" s="64">
        <f t="shared" si="7"/>
        <v>68.817692210039141</v>
      </c>
      <c r="P57" s="57">
        <v>1880</v>
      </c>
      <c r="Q57" s="56">
        <f t="shared" si="8"/>
        <v>129377.26135487358</v>
      </c>
      <c r="R57" s="64">
        <f t="shared" si="9"/>
        <v>71.157493745180474</v>
      </c>
      <c r="S57" s="57">
        <v>1880</v>
      </c>
      <c r="T57" s="56">
        <f t="shared" si="10"/>
        <v>133776.08824093928</v>
      </c>
    </row>
    <row r="58" spans="1:20" x14ac:dyDescent="0.15">
      <c r="A58" s="20" t="s">
        <v>58</v>
      </c>
      <c r="B58" s="75" t="s">
        <v>83</v>
      </c>
      <c r="C58" s="17" t="s">
        <v>92</v>
      </c>
      <c r="D58" s="55">
        <f t="shared" si="0"/>
        <v>1880</v>
      </c>
      <c r="E58" s="56">
        <f t="shared" si="1"/>
        <v>133776.08824093928</v>
      </c>
      <c r="F58" s="64">
        <v>63.383425531914881</v>
      </c>
      <c r="G58" s="57">
        <v>0</v>
      </c>
      <c r="H58" s="56">
        <f t="shared" si="2"/>
        <v>0</v>
      </c>
      <c r="I58" s="64">
        <f t="shared" si="3"/>
        <v>65.107454706382967</v>
      </c>
      <c r="J58" s="57">
        <v>0</v>
      </c>
      <c r="K58" s="56">
        <f t="shared" si="4"/>
        <v>0</v>
      </c>
      <c r="L58" s="64">
        <f t="shared" si="5"/>
        <v>67.054167602103817</v>
      </c>
      <c r="M58" s="57">
        <v>0</v>
      </c>
      <c r="N58" s="56">
        <f t="shared" si="6"/>
        <v>0</v>
      </c>
      <c r="O58" s="64">
        <f t="shared" si="7"/>
        <v>68.817692210039141</v>
      </c>
      <c r="P58" s="57">
        <v>0</v>
      </c>
      <c r="Q58" s="56">
        <f t="shared" si="8"/>
        <v>0</v>
      </c>
      <c r="R58" s="64">
        <f t="shared" si="9"/>
        <v>71.157493745180474</v>
      </c>
      <c r="S58" s="57">
        <v>1880</v>
      </c>
      <c r="T58" s="56">
        <f t="shared" si="10"/>
        <v>133776.08824093928</v>
      </c>
    </row>
    <row r="59" spans="1:20" x14ac:dyDescent="0.15">
      <c r="A59" s="20" t="s">
        <v>58</v>
      </c>
      <c r="B59" s="75" t="s">
        <v>84</v>
      </c>
      <c r="C59" s="17" t="s">
        <v>65</v>
      </c>
      <c r="D59" s="55">
        <f t="shared" si="0"/>
        <v>9400</v>
      </c>
      <c r="E59" s="56">
        <f t="shared" si="1"/>
        <v>413765.87952005514</v>
      </c>
      <c r="F59" s="64">
        <v>41.577063829787228</v>
      </c>
      <c r="G59" s="57">
        <v>1880</v>
      </c>
      <c r="H59" s="56">
        <f t="shared" si="2"/>
        <v>78164.87999999999</v>
      </c>
      <c r="I59" s="64">
        <f t="shared" si="3"/>
        <v>42.707959965957443</v>
      </c>
      <c r="J59" s="57">
        <v>1880</v>
      </c>
      <c r="K59" s="56">
        <f t="shared" si="4"/>
        <v>80290.964735999994</v>
      </c>
      <c r="L59" s="64">
        <f t="shared" si="5"/>
        <v>43.984927968939573</v>
      </c>
      <c r="M59" s="57">
        <v>1880</v>
      </c>
      <c r="N59" s="56">
        <f t="shared" si="6"/>
        <v>82691.664581606397</v>
      </c>
      <c r="O59" s="64">
        <f t="shared" si="7"/>
        <v>45.14173157452268</v>
      </c>
      <c r="P59" s="57">
        <v>1880</v>
      </c>
      <c r="Q59" s="56">
        <f t="shared" si="8"/>
        <v>84866.455360102642</v>
      </c>
      <c r="R59" s="64">
        <f t="shared" si="9"/>
        <v>46.676550448056453</v>
      </c>
      <c r="S59" s="57">
        <v>1880</v>
      </c>
      <c r="T59" s="56">
        <f t="shared" si="10"/>
        <v>87751.91484234613</v>
      </c>
    </row>
    <row r="60" spans="1:20" x14ac:dyDescent="0.15">
      <c r="A60" s="20" t="s">
        <v>58</v>
      </c>
      <c r="B60" s="75" t="s">
        <v>84</v>
      </c>
      <c r="C60" s="17" t="s">
        <v>65</v>
      </c>
      <c r="D60" s="55">
        <f t="shared" si="0"/>
        <v>9400</v>
      </c>
      <c r="E60" s="56">
        <f t="shared" si="1"/>
        <v>413765.87952005514</v>
      </c>
      <c r="F60" s="64">
        <v>41.577063829787228</v>
      </c>
      <c r="G60" s="57">
        <v>1880</v>
      </c>
      <c r="H60" s="56">
        <f t="shared" si="2"/>
        <v>78164.87999999999</v>
      </c>
      <c r="I60" s="64">
        <f t="shared" si="3"/>
        <v>42.707959965957443</v>
      </c>
      <c r="J60" s="57">
        <v>1880</v>
      </c>
      <c r="K60" s="56">
        <f t="shared" si="4"/>
        <v>80290.964735999994</v>
      </c>
      <c r="L60" s="64">
        <f t="shared" si="5"/>
        <v>43.984927968939573</v>
      </c>
      <c r="M60" s="57">
        <v>1880</v>
      </c>
      <c r="N60" s="56">
        <f t="shared" si="6"/>
        <v>82691.664581606397</v>
      </c>
      <c r="O60" s="64">
        <f t="shared" si="7"/>
        <v>45.14173157452268</v>
      </c>
      <c r="P60" s="57">
        <v>1880</v>
      </c>
      <c r="Q60" s="56">
        <f t="shared" si="8"/>
        <v>84866.455360102642</v>
      </c>
      <c r="R60" s="64">
        <f t="shared" si="9"/>
        <v>46.676550448056453</v>
      </c>
      <c r="S60" s="57">
        <v>1880</v>
      </c>
      <c r="T60" s="56">
        <f t="shared" si="10"/>
        <v>87751.91484234613</v>
      </c>
    </row>
    <row r="61" spans="1:20" x14ac:dyDescent="0.15">
      <c r="A61" s="20" t="s">
        <v>58</v>
      </c>
      <c r="B61" s="75" t="s">
        <v>84</v>
      </c>
      <c r="C61" s="17" t="s">
        <v>65</v>
      </c>
      <c r="D61" s="55">
        <f t="shared" si="0"/>
        <v>9400</v>
      </c>
      <c r="E61" s="56">
        <f t="shared" si="1"/>
        <v>413765.87952005514</v>
      </c>
      <c r="F61" s="64">
        <v>41.577063829787228</v>
      </c>
      <c r="G61" s="57">
        <v>1880</v>
      </c>
      <c r="H61" s="56">
        <f t="shared" si="2"/>
        <v>78164.87999999999</v>
      </c>
      <c r="I61" s="64">
        <f t="shared" si="3"/>
        <v>42.707959965957443</v>
      </c>
      <c r="J61" s="57">
        <v>1880</v>
      </c>
      <c r="K61" s="56">
        <f t="shared" si="4"/>
        <v>80290.964735999994</v>
      </c>
      <c r="L61" s="64">
        <f t="shared" si="5"/>
        <v>43.984927968939573</v>
      </c>
      <c r="M61" s="57">
        <v>1880</v>
      </c>
      <c r="N61" s="56">
        <f t="shared" si="6"/>
        <v>82691.664581606397</v>
      </c>
      <c r="O61" s="64">
        <f t="shared" si="7"/>
        <v>45.14173157452268</v>
      </c>
      <c r="P61" s="57">
        <v>1880</v>
      </c>
      <c r="Q61" s="56">
        <f t="shared" si="8"/>
        <v>84866.455360102642</v>
      </c>
      <c r="R61" s="64">
        <f t="shared" si="9"/>
        <v>46.676550448056453</v>
      </c>
      <c r="S61" s="57">
        <v>1880</v>
      </c>
      <c r="T61" s="56">
        <f t="shared" si="10"/>
        <v>87751.91484234613</v>
      </c>
    </row>
    <row r="62" spans="1:20" x14ac:dyDescent="0.15">
      <c r="A62" s="20" t="s">
        <v>58</v>
      </c>
      <c r="B62" s="75" t="s">
        <v>84</v>
      </c>
      <c r="C62" s="17" t="s">
        <v>65</v>
      </c>
      <c r="D62" s="55">
        <f t="shared" si="0"/>
        <v>9400</v>
      </c>
      <c r="E62" s="56">
        <f t="shared" si="1"/>
        <v>413765.87952005514</v>
      </c>
      <c r="F62" s="64">
        <v>41.577063829787228</v>
      </c>
      <c r="G62" s="57">
        <v>1880</v>
      </c>
      <c r="H62" s="56">
        <f t="shared" si="2"/>
        <v>78164.87999999999</v>
      </c>
      <c r="I62" s="64">
        <f t="shared" si="3"/>
        <v>42.707959965957443</v>
      </c>
      <c r="J62" s="57">
        <v>1880</v>
      </c>
      <c r="K62" s="56">
        <f t="shared" si="4"/>
        <v>80290.964735999994</v>
      </c>
      <c r="L62" s="64">
        <f t="shared" si="5"/>
        <v>43.984927968939573</v>
      </c>
      <c r="M62" s="57">
        <v>1880</v>
      </c>
      <c r="N62" s="56">
        <f t="shared" si="6"/>
        <v>82691.664581606397</v>
      </c>
      <c r="O62" s="64">
        <f t="shared" si="7"/>
        <v>45.14173157452268</v>
      </c>
      <c r="P62" s="57">
        <v>1880</v>
      </c>
      <c r="Q62" s="56">
        <f t="shared" si="8"/>
        <v>84866.455360102642</v>
      </c>
      <c r="R62" s="64">
        <f t="shared" si="9"/>
        <v>46.676550448056453</v>
      </c>
      <c r="S62" s="57">
        <v>1880</v>
      </c>
      <c r="T62" s="56">
        <f t="shared" si="10"/>
        <v>87751.91484234613</v>
      </c>
    </row>
    <row r="63" spans="1:20" x14ac:dyDescent="0.15">
      <c r="A63" s="20" t="s">
        <v>58</v>
      </c>
      <c r="B63" s="75" t="s">
        <v>84</v>
      </c>
      <c r="C63" s="17" t="s">
        <v>65</v>
      </c>
      <c r="D63" s="55">
        <f t="shared" si="0"/>
        <v>9400</v>
      </c>
      <c r="E63" s="56">
        <f t="shared" si="1"/>
        <v>413765.87952005514</v>
      </c>
      <c r="F63" s="64">
        <v>41.577063829787228</v>
      </c>
      <c r="G63" s="57">
        <v>1880</v>
      </c>
      <c r="H63" s="56">
        <f t="shared" si="2"/>
        <v>78164.87999999999</v>
      </c>
      <c r="I63" s="64">
        <f t="shared" si="3"/>
        <v>42.707959965957443</v>
      </c>
      <c r="J63" s="57">
        <v>1880</v>
      </c>
      <c r="K63" s="56">
        <f t="shared" si="4"/>
        <v>80290.964735999994</v>
      </c>
      <c r="L63" s="64">
        <f t="shared" si="5"/>
        <v>43.984927968939573</v>
      </c>
      <c r="M63" s="57">
        <v>1880</v>
      </c>
      <c r="N63" s="56">
        <f t="shared" si="6"/>
        <v>82691.664581606397</v>
      </c>
      <c r="O63" s="64">
        <f t="shared" si="7"/>
        <v>45.14173157452268</v>
      </c>
      <c r="P63" s="57">
        <v>1880</v>
      </c>
      <c r="Q63" s="56">
        <f t="shared" si="8"/>
        <v>84866.455360102642</v>
      </c>
      <c r="R63" s="64">
        <f t="shared" si="9"/>
        <v>46.676550448056453</v>
      </c>
      <c r="S63" s="57">
        <v>1880</v>
      </c>
      <c r="T63" s="56">
        <f t="shared" si="10"/>
        <v>87751.91484234613</v>
      </c>
    </row>
    <row r="64" spans="1:20" x14ac:dyDescent="0.15">
      <c r="A64" s="20" t="s">
        <v>58</v>
      </c>
      <c r="B64" s="75" t="s">
        <v>84</v>
      </c>
      <c r="C64" s="17" t="s">
        <v>65</v>
      </c>
      <c r="D64" s="55">
        <f t="shared" si="0"/>
        <v>9400</v>
      </c>
      <c r="E64" s="56">
        <f t="shared" si="1"/>
        <v>413765.87952005514</v>
      </c>
      <c r="F64" s="64">
        <v>41.577063829787228</v>
      </c>
      <c r="G64" s="57">
        <v>1880</v>
      </c>
      <c r="H64" s="56">
        <f t="shared" si="2"/>
        <v>78164.87999999999</v>
      </c>
      <c r="I64" s="64">
        <f t="shared" si="3"/>
        <v>42.707959965957443</v>
      </c>
      <c r="J64" s="57">
        <v>1880</v>
      </c>
      <c r="K64" s="56">
        <f t="shared" si="4"/>
        <v>80290.964735999994</v>
      </c>
      <c r="L64" s="64">
        <f t="shared" si="5"/>
        <v>43.984927968939573</v>
      </c>
      <c r="M64" s="57">
        <v>1880</v>
      </c>
      <c r="N64" s="56">
        <f t="shared" si="6"/>
        <v>82691.664581606397</v>
      </c>
      <c r="O64" s="64">
        <f t="shared" si="7"/>
        <v>45.14173157452268</v>
      </c>
      <c r="P64" s="57">
        <v>1880</v>
      </c>
      <c r="Q64" s="56">
        <f t="shared" si="8"/>
        <v>84866.455360102642</v>
      </c>
      <c r="R64" s="64">
        <f t="shared" si="9"/>
        <v>46.676550448056453</v>
      </c>
      <c r="S64" s="57">
        <v>1880</v>
      </c>
      <c r="T64" s="56">
        <f t="shared" si="10"/>
        <v>87751.91484234613</v>
      </c>
    </row>
    <row r="65" spans="1:20" x14ac:dyDescent="0.15">
      <c r="A65" s="20" t="s">
        <v>58</v>
      </c>
      <c r="B65" s="75" t="s">
        <v>84</v>
      </c>
      <c r="C65" s="17" t="s">
        <v>65</v>
      </c>
      <c r="D65" s="55">
        <f t="shared" si="0"/>
        <v>9400</v>
      </c>
      <c r="E65" s="56">
        <f t="shared" si="1"/>
        <v>413765.87952005514</v>
      </c>
      <c r="F65" s="64">
        <v>41.577063829787228</v>
      </c>
      <c r="G65" s="57">
        <v>1880</v>
      </c>
      <c r="H65" s="56">
        <f t="shared" si="2"/>
        <v>78164.87999999999</v>
      </c>
      <c r="I65" s="64">
        <f t="shared" si="3"/>
        <v>42.707959965957443</v>
      </c>
      <c r="J65" s="57">
        <v>1880</v>
      </c>
      <c r="K65" s="56">
        <f t="shared" si="4"/>
        <v>80290.964735999994</v>
      </c>
      <c r="L65" s="64">
        <f t="shared" si="5"/>
        <v>43.984927968939573</v>
      </c>
      <c r="M65" s="57">
        <v>1880</v>
      </c>
      <c r="N65" s="56">
        <f t="shared" si="6"/>
        <v>82691.664581606397</v>
      </c>
      <c r="O65" s="64">
        <f t="shared" si="7"/>
        <v>45.14173157452268</v>
      </c>
      <c r="P65" s="57">
        <v>1880</v>
      </c>
      <c r="Q65" s="56">
        <f t="shared" si="8"/>
        <v>84866.455360102642</v>
      </c>
      <c r="R65" s="64">
        <f t="shared" si="9"/>
        <v>46.676550448056453</v>
      </c>
      <c r="S65" s="57">
        <v>1880</v>
      </c>
      <c r="T65" s="56">
        <f t="shared" si="10"/>
        <v>87751.91484234613</v>
      </c>
    </row>
    <row r="66" spans="1:20" x14ac:dyDescent="0.15">
      <c r="A66" s="20" t="s">
        <v>58</v>
      </c>
      <c r="B66" s="75" t="s">
        <v>84</v>
      </c>
      <c r="C66" s="17" t="s">
        <v>65</v>
      </c>
      <c r="D66" s="55">
        <f t="shared" si="0"/>
        <v>9400</v>
      </c>
      <c r="E66" s="56">
        <f t="shared" si="1"/>
        <v>413765.87952005514</v>
      </c>
      <c r="F66" s="64">
        <v>41.577063829787228</v>
      </c>
      <c r="G66" s="57">
        <v>1880</v>
      </c>
      <c r="H66" s="56">
        <f t="shared" si="2"/>
        <v>78164.87999999999</v>
      </c>
      <c r="I66" s="64">
        <f t="shared" si="3"/>
        <v>42.707959965957443</v>
      </c>
      <c r="J66" s="57">
        <v>1880</v>
      </c>
      <c r="K66" s="56">
        <f t="shared" si="4"/>
        <v>80290.964735999994</v>
      </c>
      <c r="L66" s="64">
        <f t="shared" si="5"/>
        <v>43.984927968939573</v>
      </c>
      <c r="M66" s="57">
        <v>1880</v>
      </c>
      <c r="N66" s="56">
        <f t="shared" si="6"/>
        <v>82691.664581606397</v>
      </c>
      <c r="O66" s="64">
        <f t="shared" si="7"/>
        <v>45.14173157452268</v>
      </c>
      <c r="P66" s="57">
        <v>1880</v>
      </c>
      <c r="Q66" s="56">
        <f t="shared" si="8"/>
        <v>84866.455360102642</v>
      </c>
      <c r="R66" s="64">
        <f t="shared" si="9"/>
        <v>46.676550448056453</v>
      </c>
      <c r="S66" s="57">
        <v>1880</v>
      </c>
      <c r="T66" s="56">
        <f t="shared" si="10"/>
        <v>87751.91484234613</v>
      </c>
    </row>
    <row r="67" spans="1:20" x14ac:dyDescent="0.15">
      <c r="A67" s="20" t="s">
        <v>58</v>
      </c>
      <c r="B67" s="75" t="s">
        <v>84</v>
      </c>
      <c r="C67" s="17" t="s">
        <v>65</v>
      </c>
      <c r="D67" s="55">
        <f t="shared" si="0"/>
        <v>9400</v>
      </c>
      <c r="E67" s="56">
        <f t="shared" si="1"/>
        <v>413765.87952005514</v>
      </c>
      <c r="F67" s="64">
        <v>41.577063829787228</v>
      </c>
      <c r="G67" s="57">
        <v>1880</v>
      </c>
      <c r="H67" s="56">
        <f t="shared" si="2"/>
        <v>78164.87999999999</v>
      </c>
      <c r="I67" s="64">
        <f t="shared" si="3"/>
        <v>42.707959965957443</v>
      </c>
      <c r="J67" s="57">
        <v>1880</v>
      </c>
      <c r="K67" s="56">
        <f t="shared" si="4"/>
        <v>80290.964735999994</v>
      </c>
      <c r="L67" s="64">
        <f t="shared" si="5"/>
        <v>43.984927968939573</v>
      </c>
      <c r="M67" s="57">
        <v>1880</v>
      </c>
      <c r="N67" s="56">
        <f t="shared" si="6"/>
        <v>82691.664581606397</v>
      </c>
      <c r="O67" s="64">
        <f t="shared" si="7"/>
        <v>45.14173157452268</v>
      </c>
      <c r="P67" s="57">
        <v>1880</v>
      </c>
      <c r="Q67" s="56">
        <f t="shared" si="8"/>
        <v>84866.455360102642</v>
      </c>
      <c r="R67" s="64">
        <f t="shared" si="9"/>
        <v>46.676550448056453</v>
      </c>
      <c r="S67" s="57">
        <v>1880</v>
      </c>
      <c r="T67" s="56">
        <f t="shared" si="10"/>
        <v>87751.91484234613</v>
      </c>
    </row>
    <row r="68" spans="1:20" x14ac:dyDescent="0.15">
      <c r="A68" s="20" t="s">
        <v>58</v>
      </c>
      <c r="B68" s="75" t="s">
        <v>84</v>
      </c>
      <c r="C68" s="17" t="s">
        <v>65</v>
      </c>
      <c r="D68" s="55">
        <f t="shared" si="0"/>
        <v>9400</v>
      </c>
      <c r="E68" s="56">
        <f t="shared" si="1"/>
        <v>413765.87952005514</v>
      </c>
      <c r="F68" s="64">
        <v>41.577063829787228</v>
      </c>
      <c r="G68" s="57">
        <v>1880</v>
      </c>
      <c r="H68" s="56">
        <f t="shared" si="2"/>
        <v>78164.87999999999</v>
      </c>
      <c r="I68" s="64">
        <f t="shared" si="3"/>
        <v>42.707959965957443</v>
      </c>
      <c r="J68" s="57">
        <v>1880</v>
      </c>
      <c r="K68" s="56">
        <f t="shared" si="4"/>
        <v>80290.964735999994</v>
      </c>
      <c r="L68" s="64">
        <f t="shared" si="5"/>
        <v>43.984927968939573</v>
      </c>
      <c r="M68" s="57">
        <v>1880</v>
      </c>
      <c r="N68" s="56">
        <f t="shared" si="6"/>
        <v>82691.664581606397</v>
      </c>
      <c r="O68" s="64">
        <f t="shared" si="7"/>
        <v>45.14173157452268</v>
      </c>
      <c r="P68" s="57">
        <v>1880</v>
      </c>
      <c r="Q68" s="56">
        <f t="shared" si="8"/>
        <v>84866.455360102642</v>
      </c>
      <c r="R68" s="64">
        <f t="shared" si="9"/>
        <v>46.676550448056453</v>
      </c>
      <c r="S68" s="57">
        <v>1880</v>
      </c>
      <c r="T68" s="56">
        <f t="shared" si="10"/>
        <v>87751.91484234613</v>
      </c>
    </row>
    <row r="69" spans="1:20" x14ac:dyDescent="0.15">
      <c r="A69" s="20" t="s">
        <v>58</v>
      </c>
      <c r="B69" s="75" t="s">
        <v>84</v>
      </c>
      <c r="C69" s="17" t="s">
        <v>65</v>
      </c>
      <c r="D69" s="55">
        <f t="shared" si="0"/>
        <v>9400</v>
      </c>
      <c r="E69" s="56">
        <f t="shared" si="1"/>
        <v>413765.87952005514</v>
      </c>
      <c r="F69" s="64">
        <v>41.577063829787228</v>
      </c>
      <c r="G69" s="57">
        <v>1880</v>
      </c>
      <c r="H69" s="56">
        <f t="shared" si="2"/>
        <v>78164.87999999999</v>
      </c>
      <c r="I69" s="64">
        <f t="shared" si="3"/>
        <v>42.707959965957443</v>
      </c>
      <c r="J69" s="57">
        <v>1880</v>
      </c>
      <c r="K69" s="56">
        <f t="shared" si="4"/>
        <v>80290.964735999994</v>
      </c>
      <c r="L69" s="64">
        <f t="shared" si="5"/>
        <v>43.984927968939573</v>
      </c>
      <c r="M69" s="57">
        <v>1880</v>
      </c>
      <c r="N69" s="56">
        <f t="shared" si="6"/>
        <v>82691.664581606397</v>
      </c>
      <c r="O69" s="64">
        <f t="shared" si="7"/>
        <v>45.14173157452268</v>
      </c>
      <c r="P69" s="57">
        <v>1880</v>
      </c>
      <c r="Q69" s="56">
        <f t="shared" si="8"/>
        <v>84866.455360102642</v>
      </c>
      <c r="R69" s="64">
        <f t="shared" si="9"/>
        <v>46.676550448056453</v>
      </c>
      <c r="S69" s="57">
        <v>1880</v>
      </c>
      <c r="T69" s="56">
        <f t="shared" si="10"/>
        <v>87751.91484234613</v>
      </c>
    </row>
    <row r="70" spans="1:20" x14ac:dyDescent="0.15">
      <c r="A70" s="20" t="s">
        <v>58</v>
      </c>
      <c r="B70" s="75" t="s">
        <v>95</v>
      </c>
      <c r="C70" s="17" t="s">
        <v>66</v>
      </c>
      <c r="D70" s="55">
        <f t="shared" si="0"/>
        <v>9400</v>
      </c>
      <c r="E70" s="56">
        <f t="shared" si="1"/>
        <v>481410.89506260119</v>
      </c>
      <c r="F70" s="64">
        <v>48.374340425531919</v>
      </c>
      <c r="G70" s="57">
        <v>1880</v>
      </c>
      <c r="H70" s="56">
        <f t="shared" si="2"/>
        <v>90943.760000000009</v>
      </c>
      <c r="I70" s="64">
        <f t="shared" si="3"/>
        <v>49.690122485106386</v>
      </c>
      <c r="J70" s="57">
        <v>1880</v>
      </c>
      <c r="K70" s="56">
        <f t="shared" si="4"/>
        <v>93417.430272000012</v>
      </c>
      <c r="L70" s="64">
        <f t="shared" si="5"/>
        <v>51.175857147411065</v>
      </c>
      <c r="M70" s="57">
        <v>1880</v>
      </c>
      <c r="N70" s="56">
        <f t="shared" si="6"/>
        <v>96210.6114371328</v>
      </c>
      <c r="O70" s="64">
        <f t="shared" si="7"/>
        <v>52.521782190387974</v>
      </c>
      <c r="P70" s="57">
        <v>1880</v>
      </c>
      <c r="Q70" s="56">
        <f t="shared" si="8"/>
        <v>98740.950517929392</v>
      </c>
      <c r="R70" s="64">
        <f t="shared" si="9"/>
        <v>54.307522784861163</v>
      </c>
      <c r="S70" s="57">
        <v>1880</v>
      </c>
      <c r="T70" s="56">
        <f t="shared" si="10"/>
        <v>102098.14283553898</v>
      </c>
    </row>
    <row r="71" spans="1:20" x14ac:dyDescent="0.15">
      <c r="A71" s="20" t="s">
        <v>58</v>
      </c>
      <c r="B71" s="75" t="s">
        <v>85</v>
      </c>
      <c r="C71" s="17" t="s">
        <v>93</v>
      </c>
      <c r="D71" s="55">
        <f t="shared" si="0"/>
        <v>9400</v>
      </c>
      <c r="E71" s="56">
        <f t="shared" si="1"/>
        <v>439184.84839949245</v>
      </c>
      <c r="F71" s="64">
        <v>44.13127659574468</v>
      </c>
      <c r="G71" s="57">
        <v>1880</v>
      </c>
      <c r="H71" s="56">
        <f t="shared" si="2"/>
        <v>82966.8</v>
      </c>
      <c r="I71" s="64">
        <f t="shared" si="3"/>
        <v>45.331647319148935</v>
      </c>
      <c r="J71" s="57">
        <v>1880</v>
      </c>
      <c r="K71" s="56">
        <f t="shared" si="4"/>
        <v>85223.496960000004</v>
      </c>
      <c r="L71" s="64">
        <f t="shared" si="5"/>
        <v>46.687063573991487</v>
      </c>
      <c r="M71" s="57">
        <v>1880</v>
      </c>
      <c r="N71" s="56">
        <f t="shared" si="6"/>
        <v>87771.679519104</v>
      </c>
      <c r="O71" s="64">
        <f t="shared" si="7"/>
        <v>47.914933345987464</v>
      </c>
      <c r="P71" s="57">
        <v>1880</v>
      </c>
      <c r="Q71" s="56">
        <f t="shared" si="8"/>
        <v>90080.074690456429</v>
      </c>
      <c r="R71" s="64">
        <f t="shared" si="9"/>
        <v>49.54404107975104</v>
      </c>
      <c r="S71" s="57">
        <v>1880</v>
      </c>
      <c r="T71" s="56">
        <f t="shared" si="10"/>
        <v>93142.797229931952</v>
      </c>
    </row>
    <row r="72" spans="1:20" x14ac:dyDescent="0.15">
      <c r="A72" s="20" t="s">
        <v>58</v>
      </c>
      <c r="B72" s="75" t="s">
        <v>85</v>
      </c>
      <c r="C72" s="17" t="s">
        <v>93</v>
      </c>
      <c r="D72" s="55">
        <f t="shared" si="0"/>
        <v>9400</v>
      </c>
      <c r="E72" s="56">
        <f t="shared" si="1"/>
        <v>439184.84839949245</v>
      </c>
      <c r="F72" s="64">
        <v>44.13127659574468</v>
      </c>
      <c r="G72" s="57">
        <v>1880</v>
      </c>
      <c r="H72" s="56">
        <f t="shared" si="2"/>
        <v>82966.8</v>
      </c>
      <c r="I72" s="64">
        <f t="shared" si="3"/>
        <v>45.331647319148935</v>
      </c>
      <c r="J72" s="57">
        <v>1880</v>
      </c>
      <c r="K72" s="56">
        <f t="shared" si="4"/>
        <v>85223.496960000004</v>
      </c>
      <c r="L72" s="64">
        <f t="shared" si="5"/>
        <v>46.687063573991487</v>
      </c>
      <c r="M72" s="57">
        <v>1880</v>
      </c>
      <c r="N72" s="56">
        <f t="shared" si="6"/>
        <v>87771.679519104</v>
      </c>
      <c r="O72" s="64">
        <f t="shared" si="7"/>
        <v>47.914933345987464</v>
      </c>
      <c r="P72" s="57">
        <v>1880</v>
      </c>
      <c r="Q72" s="56">
        <f t="shared" si="8"/>
        <v>90080.074690456429</v>
      </c>
      <c r="R72" s="64">
        <f t="shared" si="9"/>
        <v>49.54404107975104</v>
      </c>
      <c r="S72" s="57">
        <v>1880</v>
      </c>
      <c r="T72" s="56">
        <f t="shared" si="10"/>
        <v>93142.797229931952</v>
      </c>
    </row>
    <row r="73" spans="1:20" x14ac:dyDescent="0.15">
      <c r="A73" s="20" t="s">
        <v>58</v>
      </c>
      <c r="B73" s="75" t="s">
        <v>86</v>
      </c>
      <c r="C73" s="17" t="s">
        <v>64</v>
      </c>
      <c r="D73" s="55">
        <f t="shared" si="0"/>
        <v>9400</v>
      </c>
      <c r="E73" s="56">
        <f t="shared" si="1"/>
        <v>531500.12002361403</v>
      </c>
      <c r="F73" s="64">
        <v>53.407531914893617</v>
      </c>
      <c r="G73" s="57">
        <v>1880</v>
      </c>
      <c r="H73" s="56">
        <f t="shared" si="2"/>
        <v>100406.16</v>
      </c>
      <c r="I73" s="64">
        <f t="shared" si="3"/>
        <v>54.860216782978725</v>
      </c>
      <c r="J73" s="57">
        <v>1880</v>
      </c>
      <c r="K73" s="56">
        <f t="shared" si="4"/>
        <v>103137.20755200001</v>
      </c>
      <c r="L73" s="64">
        <f t="shared" si="5"/>
        <v>56.500537264789791</v>
      </c>
      <c r="M73" s="57">
        <v>1880</v>
      </c>
      <c r="N73" s="56">
        <f t="shared" si="6"/>
        <v>106221.01005780482</v>
      </c>
      <c r="O73" s="64">
        <f t="shared" si="7"/>
        <v>57.986501394853761</v>
      </c>
      <c r="P73" s="57">
        <v>1880</v>
      </c>
      <c r="Q73" s="56">
        <f t="shared" si="8"/>
        <v>109014.62262232507</v>
      </c>
      <c r="R73" s="64">
        <f t="shared" si="9"/>
        <v>59.958042442278789</v>
      </c>
      <c r="S73" s="57">
        <v>1880</v>
      </c>
      <c r="T73" s="56">
        <f t="shared" si="10"/>
        <v>112721.11979148412</v>
      </c>
    </row>
    <row r="74" spans="1:20" x14ac:dyDescent="0.15">
      <c r="A74" s="20" t="s">
        <v>58</v>
      </c>
      <c r="B74" s="75" t="s">
        <v>86</v>
      </c>
      <c r="C74" s="17" t="s">
        <v>64</v>
      </c>
      <c r="D74" s="55">
        <f t="shared" si="0"/>
        <v>9400</v>
      </c>
      <c r="E74" s="56">
        <f t="shared" si="1"/>
        <v>531500.12002361403</v>
      </c>
      <c r="F74" s="64">
        <v>53.407531914893617</v>
      </c>
      <c r="G74" s="57">
        <v>1880</v>
      </c>
      <c r="H74" s="56">
        <f t="shared" si="2"/>
        <v>100406.16</v>
      </c>
      <c r="I74" s="64">
        <f t="shared" si="3"/>
        <v>54.860216782978725</v>
      </c>
      <c r="J74" s="57">
        <v>1880</v>
      </c>
      <c r="K74" s="56">
        <f t="shared" si="4"/>
        <v>103137.20755200001</v>
      </c>
      <c r="L74" s="64">
        <f t="shared" si="5"/>
        <v>56.500537264789791</v>
      </c>
      <c r="M74" s="57">
        <v>1880</v>
      </c>
      <c r="N74" s="56">
        <f t="shared" si="6"/>
        <v>106221.01005780482</v>
      </c>
      <c r="O74" s="64">
        <f t="shared" si="7"/>
        <v>57.986501394853761</v>
      </c>
      <c r="P74" s="57">
        <v>1880</v>
      </c>
      <c r="Q74" s="56">
        <f t="shared" si="8"/>
        <v>109014.62262232507</v>
      </c>
      <c r="R74" s="64">
        <f t="shared" si="9"/>
        <v>59.958042442278789</v>
      </c>
      <c r="S74" s="57">
        <v>1880</v>
      </c>
      <c r="T74" s="56">
        <f t="shared" si="10"/>
        <v>112721.11979148412</v>
      </c>
    </row>
    <row r="75" spans="1:20" x14ac:dyDescent="0.15">
      <c r="A75" s="20" t="s">
        <v>58</v>
      </c>
      <c r="B75" s="75" t="s">
        <v>86</v>
      </c>
      <c r="C75" s="17" t="s">
        <v>64</v>
      </c>
      <c r="D75" s="55">
        <f t="shared" si="0"/>
        <v>9400</v>
      </c>
      <c r="E75" s="56">
        <f t="shared" si="1"/>
        <v>531500.12002361403</v>
      </c>
      <c r="F75" s="64">
        <v>53.407531914893617</v>
      </c>
      <c r="G75" s="57">
        <v>1880</v>
      </c>
      <c r="H75" s="56">
        <f t="shared" si="2"/>
        <v>100406.16</v>
      </c>
      <c r="I75" s="64">
        <f t="shared" si="3"/>
        <v>54.860216782978725</v>
      </c>
      <c r="J75" s="57">
        <v>1880</v>
      </c>
      <c r="K75" s="56">
        <f t="shared" si="4"/>
        <v>103137.20755200001</v>
      </c>
      <c r="L75" s="64">
        <f t="shared" si="5"/>
        <v>56.500537264789791</v>
      </c>
      <c r="M75" s="57">
        <v>1880</v>
      </c>
      <c r="N75" s="56">
        <f t="shared" si="6"/>
        <v>106221.01005780482</v>
      </c>
      <c r="O75" s="64">
        <f t="shared" si="7"/>
        <v>57.986501394853761</v>
      </c>
      <c r="P75" s="57">
        <v>1880</v>
      </c>
      <c r="Q75" s="56">
        <f t="shared" si="8"/>
        <v>109014.62262232507</v>
      </c>
      <c r="R75" s="64">
        <f t="shared" si="9"/>
        <v>59.958042442278789</v>
      </c>
      <c r="S75" s="57">
        <v>1880</v>
      </c>
      <c r="T75" s="56">
        <f t="shared" si="10"/>
        <v>112721.11979148412</v>
      </c>
    </row>
    <row r="76" spans="1:20" x14ac:dyDescent="0.15">
      <c r="A76" s="20" t="s">
        <v>58</v>
      </c>
      <c r="B76" s="75" t="s">
        <v>86</v>
      </c>
      <c r="C76" s="17" t="s">
        <v>64</v>
      </c>
      <c r="D76" s="55">
        <f t="shared" ref="D76:D95" si="11">G76+J76+M76+P76+S76</f>
        <v>9400</v>
      </c>
      <c r="E76" s="56">
        <f t="shared" ref="E76:E103" si="12">H76+K76+N76+Q76+T76</f>
        <v>531500.12002361403</v>
      </c>
      <c r="F76" s="64">
        <v>53.407531914893617</v>
      </c>
      <c r="G76" s="57">
        <v>1880</v>
      </c>
      <c r="H76" s="56">
        <f t="shared" ref="H76:H94" si="13">F76*G76</f>
        <v>100406.16</v>
      </c>
      <c r="I76" s="64">
        <f t="shared" ref="I76:I94" si="14">F76+(F76*$I$2)</f>
        <v>54.860216782978725</v>
      </c>
      <c r="J76" s="57">
        <v>1880</v>
      </c>
      <c r="K76" s="56">
        <f t="shared" ref="K76:K94" si="15">I76*J76</f>
        <v>103137.20755200001</v>
      </c>
      <c r="L76" s="64">
        <f t="shared" ref="L76:L94" si="16">I76+(I76*$L$2)</f>
        <v>56.500537264789791</v>
      </c>
      <c r="M76" s="57">
        <v>1880</v>
      </c>
      <c r="N76" s="56">
        <f t="shared" ref="N76:N94" si="17">L76*M76</f>
        <v>106221.01005780482</v>
      </c>
      <c r="O76" s="64">
        <f t="shared" ref="O76:O94" si="18">L76+(L76*$O$2)</f>
        <v>57.986501394853761</v>
      </c>
      <c r="P76" s="57">
        <v>1880</v>
      </c>
      <c r="Q76" s="56">
        <f t="shared" ref="Q76:Q94" si="19">O76*P76</f>
        <v>109014.62262232507</v>
      </c>
      <c r="R76" s="64">
        <f t="shared" ref="R76:R94" si="20">O76+(O76*$R$2)</f>
        <v>59.958042442278789</v>
      </c>
      <c r="S76" s="57">
        <v>1880</v>
      </c>
      <c r="T76" s="56">
        <f t="shared" ref="T76:T94" si="21">R76*S76</f>
        <v>112721.11979148412</v>
      </c>
    </row>
    <row r="77" spans="1:20" x14ac:dyDescent="0.15">
      <c r="A77" s="20" t="s">
        <v>58</v>
      </c>
      <c r="B77" s="75" t="s">
        <v>86</v>
      </c>
      <c r="C77" s="17" t="s">
        <v>64</v>
      </c>
      <c r="D77" s="55">
        <f t="shared" si="11"/>
        <v>9400</v>
      </c>
      <c r="E77" s="56">
        <f t="shared" si="12"/>
        <v>531500.12002361403</v>
      </c>
      <c r="F77" s="64">
        <v>53.407531914893617</v>
      </c>
      <c r="G77" s="57">
        <v>1880</v>
      </c>
      <c r="H77" s="56">
        <f t="shared" si="13"/>
        <v>100406.16</v>
      </c>
      <c r="I77" s="64">
        <f t="shared" si="14"/>
        <v>54.860216782978725</v>
      </c>
      <c r="J77" s="57">
        <v>1880</v>
      </c>
      <c r="K77" s="56">
        <f t="shared" si="15"/>
        <v>103137.20755200001</v>
      </c>
      <c r="L77" s="64">
        <f t="shared" si="16"/>
        <v>56.500537264789791</v>
      </c>
      <c r="M77" s="57">
        <v>1880</v>
      </c>
      <c r="N77" s="56">
        <f t="shared" si="17"/>
        <v>106221.01005780482</v>
      </c>
      <c r="O77" s="64">
        <f t="shared" si="18"/>
        <v>57.986501394853761</v>
      </c>
      <c r="P77" s="57">
        <v>1880</v>
      </c>
      <c r="Q77" s="56">
        <f t="shared" si="19"/>
        <v>109014.62262232507</v>
      </c>
      <c r="R77" s="64">
        <f t="shared" si="20"/>
        <v>59.958042442278789</v>
      </c>
      <c r="S77" s="57">
        <v>1880</v>
      </c>
      <c r="T77" s="56">
        <f t="shared" si="21"/>
        <v>112721.11979148412</v>
      </c>
    </row>
    <row r="78" spans="1:20" x14ac:dyDescent="0.15">
      <c r="A78" s="20" t="s">
        <v>58</v>
      </c>
      <c r="B78" s="75" t="s">
        <v>86</v>
      </c>
      <c r="C78" s="17" t="s">
        <v>64</v>
      </c>
      <c r="D78" s="55">
        <f t="shared" si="11"/>
        <v>9400</v>
      </c>
      <c r="E78" s="56">
        <f t="shared" si="12"/>
        <v>531500.12002361403</v>
      </c>
      <c r="F78" s="64">
        <v>53.407531914893617</v>
      </c>
      <c r="G78" s="57">
        <v>1880</v>
      </c>
      <c r="H78" s="56">
        <f t="shared" si="13"/>
        <v>100406.16</v>
      </c>
      <c r="I78" s="64">
        <f t="shared" si="14"/>
        <v>54.860216782978725</v>
      </c>
      <c r="J78" s="57">
        <v>1880</v>
      </c>
      <c r="K78" s="56">
        <f t="shared" si="15"/>
        <v>103137.20755200001</v>
      </c>
      <c r="L78" s="64">
        <f t="shared" si="16"/>
        <v>56.500537264789791</v>
      </c>
      <c r="M78" s="57">
        <v>1880</v>
      </c>
      <c r="N78" s="56">
        <f t="shared" si="17"/>
        <v>106221.01005780482</v>
      </c>
      <c r="O78" s="64">
        <f t="shared" si="18"/>
        <v>57.986501394853761</v>
      </c>
      <c r="P78" s="57">
        <v>1880</v>
      </c>
      <c r="Q78" s="56">
        <f t="shared" si="19"/>
        <v>109014.62262232507</v>
      </c>
      <c r="R78" s="64">
        <f t="shared" si="20"/>
        <v>59.958042442278789</v>
      </c>
      <c r="S78" s="57">
        <v>1880</v>
      </c>
      <c r="T78" s="56">
        <f t="shared" si="21"/>
        <v>112721.11979148412</v>
      </c>
    </row>
    <row r="79" spans="1:20" x14ac:dyDescent="0.15">
      <c r="A79" s="20" t="s">
        <v>58</v>
      </c>
      <c r="B79" s="75" t="s">
        <v>86</v>
      </c>
      <c r="C79" s="17" t="s">
        <v>64</v>
      </c>
      <c r="D79" s="55">
        <f t="shared" si="11"/>
        <v>9400</v>
      </c>
      <c r="E79" s="56">
        <f t="shared" si="12"/>
        <v>531500.12002361403</v>
      </c>
      <c r="F79" s="64">
        <v>53.407531914893617</v>
      </c>
      <c r="G79" s="57">
        <v>1880</v>
      </c>
      <c r="H79" s="56">
        <f t="shared" si="13"/>
        <v>100406.16</v>
      </c>
      <c r="I79" s="64">
        <f t="shared" si="14"/>
        <v>54.860216782978725</v>
      </c>
      <c r="J79" s="57">
        <v>1880</v>
      </c>
      <c r="K79" s="56">
        <f t="shared" si="15"/>
        <v>103137.20755200001</v>
      </c>
      <c r="L79" s="64">
        <f t="shared" si="16"/>
        <v>56.500537264789791</v>
      </c>
      <c r="M79" s="57">
        <v>1880</v>
      </c>
      <c r="N79" s="56">
        <f t="shared" si="17"/>
        <v>106221.01005780482</v>
      </c>
      <c r="O79" s="64">
        <f t="shared" si="18"/>
        <v>57.986501394853761</v>
      </c>
      <c r="P79" s="57">
        <v>1880</v>
      </c>
      <c r="Q79" s="56">
        <f t="shared" si="19"/>
        <v>109014.62262232507</v>
      </c>
      <c r="R79" s="64">
        <f t="shared" si="20"/>
        <v>59.958042442278789</v>
      </c>
      <c r="S79" s="57">
        <v>1880</v>
      </c>
      <c r="T79" s="56">
        <f t="shared" si="21"/>
        <v>112721.11979148412</v>
      </c>
    </row>
    <row r="80" spans="1:20" x14ac:dyDescent="0.15">
      <c r="A80" s="20" t="s">
        <v>58</v>
      </c>
      <c r="B80" s="75" t="s">
        <v>86</v>
      </c>
      <c r="C80" s="17" t="s">
        <v>64</v>
      </c>
      <c r="D80" s="55">
        <f t="shared" si="11"/>
        <v>9400</v>
      </c>
      <c r="E80" s="56">
        <f t="shared" si="12"/>
        <v>531500.12002361403</v>
      </c>
      <c r="F80" s="64">
        <v>53.407531914893617</v>
      </c>
      <c r="G80" s="57">
        <v>1880</v>
      </c>
      <c r="H80" s="56">
        <f t="shared" si="13"/>
        <v>100406.16</v>
      </c>
      <c r="I80" s="64">
        <f t="shared" si="14"/>
        <v>54.860216782978725</v>
      </c>
      <c r="J80" s="57">
        <v>1880</v>
      </c>
      <c r="K80" s="56">
        <f t="shared" si="15"/>
        <v>103137.20755200001</v>
      </c>
      <c r="L80" s="64">
        <f t="shared" si="16"/>
        <v>56.500537264789791</v>
      </c>
      <c r="M80" s="57">
        <v>1880</v>
      </c>
      <c r="N80" s="56">
        <f t="shared" si="17"/>
        <v>106221.01005780482</v>
      </c>
      <c r="O80" s="64">
        <f t="shared" si="18"/>
        <v>57.986501394853761</v>
      </c>
      <c r="P80" s="57">
        <v>1880</v>
      </c>
      <c r="Q80" s="56">
        <f t="shared" si="19"/>
        <v>109014.62262232507</v>
      </c>
      <c r="R80" s="64">
        <f t="shared" si="20"/>
        <v>59.958042442278789</v>
      </c>
      <c r="S80" s="57">
        <v>1880</v>
      </c>
      <c r="T80" s="56">
        <f t="shared" si="21"/>
        <v>112721.11979148412</v>
      </c>
    </row>
    <row r="81" spans="1:20" x14ac:dyDescent="0.15">
      <c r="A81" s="20" t="s">
        <v>58</v>
      </c>
      <c r="B81" s="75" t="s">
        <v>86</v>
      </c>
      <c r="C81" s="17" t="s">
        <v>64</v>
      </c>
      <c r="D81" s="55">
        <f t="shared" si="11"/>
        <v>5640</v>
      </c>
      <c r="E81" s="56">
        <f t="shared" si="12"/>
        <v>327956.75247161405</v>
      </c>
      <c r="F81" s="64">
        <v>53.407531914893617</v>
      </c>
      <c r="G81" s="57">
        <v>0</v>
      </c>
      <c r="H81" s="56">
        <f t="shared" si="13"/>
        <v>0</v>
      </c>
      <c r="I81" s="64">
        <f t="shared" si="14"/>
        <v>54.860216782978725</v>
      </c>
      <c r="J81" s="57">
        <v>0</v>
      </c>
      <c r="K81" s="56">
        <f t="shared" si="15"/>
        <v>0</v>
      </c>
      <c r="L81" s="64">
        <f t="shared" si="16"/>
        <v>56.500537264789791</v>
      </c>
      <c r="M81" s="57">
        <v>1880</v>
      </c>
      <c r="N81" s="56">
        <f t="shared" si="17"/>
        <v>106221.01005780482</v>
      </c>
      <c r="O81" s="64">
        <f t="shared" si="18"/>
        <v>57.986501394853761</v>
      </c>
      <c r="P81" s="57">
        <v>1880</v>
      </c>
      <c r="Q81" s="56">
        <f t="shared" si="19"/>
        <v>109014.62262232507</v>
      </c>
      <c r="R81" s="64">
        <f t="shared" si="20"/>
        <v>59.958042442278789</v>
      </c>
      <c r="S81" s="57">
        <v>1880</v>
      </c>
      <c r="T81" s="56">
        <f t="shared" si="21"/>
        <v>112721.11979148412</v>
      </c>
    </row>
    <row r="82" spans="1:20" x14ac:dyDescent="0.15">
      <c r="A82" s="20" t="s">
        <v>58</v>
      </c>
      <c r="B82" s="75" t="s">
        <v>86</v>
      </c>
      <c r="C82" s="17" t="s">
        <v>64</v>
      </c>
      <c r="D82" s="55">
        <f t="shared" si="11"/>
        <v>5640</v>
      </c>
      <c r="E82" s="56">
        <f t="shared" si="12"/>
        <v>327956.75247161405</v>
      </c>
      <c r="F82" s="64">
        <v>53.407531914893617</v>
      </c>
      <c r="G82" s="57">
        <v>0</v>
      </c>
      <c r="H82" s="56">
        <f t="shared" si="13"/>
        <v>0</v>
      </c>
      <c r="I82" s="64">
        <f t="shared" si="14"/>
        <v>54.860216782978725</v>
      </c>
      <c r="J82" s="57">
        <v>0</v>
      </c>
      <c r="K82" s="56">
        <f t="shared" si="15"/>
        <v>0</v>
      </c>
      <c r="L82" s="64">
        <f t="shared" si="16"/>
        <v>56.500537264789791</v>
      </c>
      <c r="M82" s="57">
        <v>1880</v>
      </c>
      <c r="N82" s="56">
        <f t="shared" si="17"/>
        <v>106221.01005780482</v>
      </c>
      <c r="O82" s="64">
        <f t="shared" si="18"/>
        <v>57.986501394853761</v>
      </c>
      <c r="P82" s="57">
        <v>1880</v>
      </c>
      <c r="Q82" s="56">
        <f t="shared" si="19"/>
        <v>109014.62262232507</v>
      </c>
      <c r="R82" s="64">
        <f t="shared" si="20"/>
        <v>59.958042442278789</v>
      </c>
      <c r="S82" s="57">
        <v>1880</v>
      </c>
      <c r="T82" s="56">
        <f t="shared" si="21"/>
        <v>112721.11979148412</v>
      </c>
    </row>
    <row r="83" spans="1:20" x14ac:dyDescent="0.15">
      <c r="A83" s="20" t="s">
        <v>58</v>
      </c>
      <c r="B83" s="75" t="s">
        <v>82</v>
      </c>
      <c r="C83" s="17" t="s">
        <v>69</v>
      </c>
      <c r="D83" s="55">
        <f t="shared" si="11"/>
        <v>9400</v>
      </c>
      <c r="E83" s="56">
        <f t="shared" si="12"/>
        <v>573692.71175966912</v>
      </c>
      <c r="F83" s="64">
        <v>57.647234042553194</v>
      </c>
      <c r="G83" s="57">
        <v>1880</v>
      </c>
      <c r="H83" s="56">
        <f t="shared" si="13"/>
        <v>108376.8</v>
      </c>
      <c r="I83" s="64">
        <f t="shared" si="14"/>
        <v>59.215238808510641</v>
      </c>
      <c r="J83" s="57">
        <v>1880</v>
      </c>
      <c r="K83" s="56">
        <f t="shared" si="15"/>
        <v>111324.64896000001</v>
      </c>
      <c r="L83" s="64">
        <f t="shared" si="16"/>
        <v>60.98577444888511</v>
      </c>
      <c r="M83" s="57">
        <v>1880</v>
      </c>
      <c r="N83" s="56">
        <f t="shared" si="17"/>
        <v>114653.25596390401</v>
      </c>
      <c r="O83" s="64">
        <f t="shared" si="18"/>
        <v>62.589700316890791</v>
      </c>
      <c r="P83" s="57">
        <v>1880</v>
      </c>
      <c r="Q83" s="56">
        <f t="shared" si="19"/>
        <v>117668.6365957547</v>
      </c>
      <c r="R83" s="64">
        <f t="shared" si="20"/>
        <v>64.717750127665084</v>
      </c>
      <c r="S83" s="57">
        <v>1880</v>
      </c>
      <c r="T83" s="56">
        <f t="shared" si="21"/>
        <v>121669.37024001036</v>
      </c>
    </row>
    <row r="84" spans="1:20" x14ac:dyDescent="0.15">
      <c r="A84" s="20" t="s">
        <v>58</v>
      </c>
      <c r="B84" s="75" t="s">
        <v>82</v>
      </c>
      <c r="C84" s="17" t="s">
        <v>69</v>
      </c>
      <c r="D84" s="55">
        <f t="shared" si="11"/>
        <v>9400</v>
      </c>
      <c r="E84" s="56">
        <f t="shared" si="12"/>
        <v>573692.71175966912</v>
      </c>
      <c r="F84" s="64">
        <v>57.647234042553194</v>
      </c>
      <c r="G84" s="57">
        <v>1880</v>
      </c>
      <c r="H84" s="56">
        <f t="shared" si="13"/>
        <v>108376.8</v>
      </c>
      <c r="I84" s="64">
        <f t="shared" si="14"/>
        <v>59.215238808510641</v>
      </c>
      <c r="J84" s="57">
        <v>1880</v>
      </c>
      <c r="K84" s="56">
        <f t="shared" si="15"/>
        <v>111324.64896000001</v>
      </c>
      <c r="L84" s="64">
        <f t="shared" si="16"/>
        <v>60.98577444888511</v>
      </c>
      <c r="M84" s="57">
        <v>1880</v>
      </c>
      <c r="N84" s="56">
        <f t="shared" si="17"/>
        <v>114653.25596390401</v>
      </c>
      <c r="O84" s="64">
        <f t="shared" si="18"/>
        <v>62.589700316890791</v>
      </c>
      <c r="P84" s="57">
        <v>1880</v>
      </c>
      <c r="Q84" s="56">
        <f t="shared" si="19"/>
        <v>117668.6365957547</v>
      </c>
      <c r="R84" s="64">
        <f t="shared" si="20"/>
        <v>64.717750127665084</v>
      </c>
      <c r="S84" s="57">
        <v>1880</v>
      </c>
      <c r="T84" s="56">
        <f t="shared" si="21"/>
        <v>121669.37024001036</v>
      </c>
    </row>
    <row r="85" spans="1:20" x14ac:dyDescent="0.15">
      <c r="A85" s="20" t="s">
        <v>58</v>
      </c>
      <c r="B85" s="75" t="s">
        <v>82</v>
      </c>
      <c r="C85" s="17" t="s">
        <v>69</v>
      </c>
      <c r="D85" s="55">
        <f t="shared" si="11"/>
        <v>9400</v>
      </c>
      <c r="E85" s="56">
        <f t="shared" si="12"/>
        <v>573692.71175966912</v>
      </c>
      <c r="F85" s="64">
        <v>57.647234042553194</v>
      </c>
      <c r="G85" s="57">
        <v>1880</v>
      </c>
      <c r="H85" s="56">
        <f t="shared" si="13"/>
        <v>108376.8</v>
      </c>
      <c r="I85" s="64">
        <f t="shared" si="14"/>
        <v>59.215238808510641</v>
      </c>
      <c r="J85" s="57">
        <v>1880</v>
      </c>
      <c r="K85" s="56">
        <f t="shared" si="15"/>
        <v>111324.64896000001</v>
      </c>
      <c r="L85" s="64">
        <f t="shared" si="16"/>
        <v>60.98577444888511</v>
      </c>
      <c r="M85" s="57">
        <v>1880</v>
      </c>
      <c r="N85" s="56">
        <f t="shared" si="17"/>
        <v>114653.25596390401</v>
      </c>
      <c r="O85" s="64">
        <f t="shared" si="18"/>
        <v>62.589700316890791</v>
      </c>
      <c r="P85" s="57">
        <v>1880</v>
      </c>
      <c r="Q85" s="56">
        <f t="shared" si="19"/>
        <v>117668.6365957547</v>
      </c>
      <c r="R85" s="64">
        <f t="shared" si="20"/>
        <v>64.717750127665084</v>
      </c>
      <c r="S85" s="57">
        <v>1880</v>
      </c>
      <c r="T85" s="56">
        <f t="shared" si="21"/>
        <v>121669.37024001036</v>
      </c>
    </row>
    <row r="86" spans="1:20" x14ac:dyDescent="0.15">
      <c r="A86" s="20" t="s">
        <v>58</v>
      </c>
      <c r="B86" s="75" t="s">
        <v>82</v>
      </c>
      <c r="C86" s="17" t="s">
        <v>69</v>
      </c>
      <c r="D86" s="55">
        <f t="shared" si="11"/>
        <v>9400</v>
      </c>
      <c r="E86" s="56">
        <f t="shared" si="12"/>
        <v>573692.71175966912</v>
      </c>
      <c r="F86" s="64">
        <v>57.647234042553194</v>
      </c>
      <c r="G86" s="57">
        <v>1880</v>
      </c>
      <c r="H86" s="56">
        <f t="shared" si="13"/>
        <v>108376.8</v>
      </c>
      <c r="I86" s="64">
        <f t="shared" si="14"/>
        <v>59.215238808510641</v>
      </c>
      <c r="J86" s="57">
        <v>1880</v>
      </c>
      <c r="K86" s="56">
        <f t="shared" si="15"/>
        <v>111324.64896000001</v>
      </c>
      <c r="L86" s="64">
        <f t="shared" si="16"/>
        <v>60.98577444888511</v>
      </c>
      <c r="M86" s="57">
        <v>1880</v>
      </c>
      <c r="N86" s="56">
        <f t="shared" si="17"/>
        <v>114653.25596390401</v>
      </c>
      <c r="O86" s="64">
        <f t="shared" si="18"/>
        <v>62.589700316890791</v>
      </c>
      <c r="P86" s="57">
        <v>1880</v>
      </c>
      <c r="Q86" s="56">
        <f t="shared" si="19"/>
        <v>117668.6365957547</v>
      </c>
      <c r="R86" s="64">
        <f t="shared" si="20"/>
        <v>64.717750127665084</v>
      </c>
      <c r="S86" s="57">
        <v>1880</v>
      </c>
      <c r="T86" s="56">
        <f t="shared" si="21"/>
        <v>121669.37024001036</v>
      </c>
    </row>
    <row r="87" spans="1:20" x14ac:dyDescent="0.15">
      <c r="A87" s="20" t="s">
        <v>58</v>
      </c>
      <c r="B87" s="75" t="s">
        <v>82</v>
      </c>
      <c r="C87" s="17" t="s">
        <v>69</v>
      </c>
      <c r="D87" s="55">
        <f t="shared" si="11"/>
        <v>9400</v>
      </c>
      <c r="E87" s="56">
        <f t="shared" si="12"/>
        <v>573692.71175966912</v>
      </c>
      <c r="F87" s="64">
        <v>57.647234042553194</v>
      </c>
      <c r="G87" s="57">
        <v>1880</v>
      </c>
      <c r="H87" s="56">
        <f t="shared" si="13"/>
        <v>108376.8</v>
      </c>
      <c r="I87" s="64">
        <f t="shared" si="14"/>
        <v>59.215238808510641</v>
      </c>
      <c r="J87" s="57">
        <v>1880</v>
      </c>
      <c r="K87" s="56">
        <f t="shared" si="15"/>
        <v>111324.64896000001</v>
      </c>
      <c r="L87" s="64">
        <f t="shared" si="16"/>
        <v>60.98577444888511</v>
      </c>
      <c r="M87" s="57">
        <v>1880</v>
      </c>
      <c r="N87" s="56">
        <f t="shared" si="17"/>
        <v>114653.25596390401</v>
      </c>
      <c r="O87" s="64">
        <f t="shared" si="18"/>
        <v>62.589700316890791</v>
      </c>
      <c r="P87" s="57">
        <v>1880</v>
      </c>
      <c r="Q87" s="56">
        <f t="shared" si="19"/>
        <v>117668.6365957547</v>
      </c>
      <c r="R87" s="64">
        <f t="shared" si="20"/>
        <v>64.717750127665084</v>
      </c>
      <c r="S87" s="57">
        <v>1880</v>
      </c>
      <c r="T87" s="56">
        <f t="shared" si="21"/>
        <v>121669.37024001036</v>
      </c>
    </row>
    <row r="88" spans="1:20" x14ac:dyDescent="0.15">
      <c r="A88" s="20" t="s">
        <v>58</v>
      </c>
      <c r="B88" s="75" t="s">
        <v>82</v>
      </c>
      <c r="C88" s="17" t="s">
        <v>69</v>
      </c>
      <c r="D88" s="55">
        <f t="shared" si="11"/>
        <v>9400</v>
      </c>
      <c r="E88" s="56">
        <f t="shared" si="12"/>
        <v>573692.71175966912</v>
      </c>
      <c r="F88" s="64">
        <v>57.647234042553194</v>
      </c>
      <c r="G88" s="57">
        <v>1880</v>
      </c>
      <c r="H88" s="56">
        <f t="shared" si="13"/>
        <v>108376.8</v>
      </c>
      <c r="I88" s="64">
        <f t="shared" si="14"/>
        <v>59.215238808510641</v>
      </c>
      <c r="J88" s="57">
        <v>1880</v>
      </c>
      <c r="K88" s="56">
        <f t="shared" si="15"/>
        <v>111324.64896000001</v>
      </c>
      <c r="L88" s="64">
        <f t="shared" si="16"/>
        <v>60.98577444888511</v>
      </c>
      <c r="M88" s="57">
        <v>1880</v>
      </c>
      <c r="N88" s="56">
        <f t="shared" si="17"/>
        <v>114653.25596390401</v>
      </c>
      <c r="O88" s="64">
        <f t="shared" si="18"/>
        <v>62.589700316890791</v>
      </c>
      <c r="P88" s="57">
        <v>1880</v>
      </c>
      <c r="Q88" s="56">
        <f t="shared" si="19"/>
        <v>117668.6365957547</v>
      </c>
      <c r="R88" s="64">
        <f t="shared" si="20"/>
        <v>64.717750127665084</v>
      </c>
      <c r="S88" s="57">
        <v>1880</v>
      </c>
      <c r="T88" s="56">
        <f t="shared" si="21"/>
        <v>121669.37024001036</v>
      </c>
    </row>
    <row r="89" spans="1:20" x14ac:dyDescent="0.15">
      <c r="A89" s="20" t="s">
        <v>58</v>
      </c>
      <c r="B89" s="75" t="s">
        <v>82</v>
      </c>
      <c r="C89" s="17" t="s">
        <v>69</v>
      </c>
      <c r="D89" s="55">
        <f t="shared" si="11"/>
        <v>9400</v>
      </c>
      <c r="E89" s="56">
        <f t="shared" si="12"/>
        <v>573692.71175966912</v>
      </c>
      <c r="F89" s="64">
        <v>57.647234042553194</v>
      </c>
      <c r="G89" s="57">
        <v>1880</v>
      </c>
      <c r="H89" s="56">
        <f t="shared" si="13"/>
        <v>108376.8</v>
      </c>
      <c r="I89" s="64">
        <f t="shared" si="14"/>
        <v>59.215238808510641</v>
      </c>
      <c r="J89" s="57">
        <v>1880</v>
      </c>
      <c r="K89" s="56">
        <f t="shared" si="15"/>
        <v>111324.64896000001</v>
      </c>
      <c r="L89" s="64">
        <f t="shared" si="16"/>
        <v>60.98577444888511</v>
      </c>
      <c r="M89" s="57">
        <v>1880</v>
      </c>
      <c r="N89" s="56">
        <f t="shared" si="17"/>
        <v>114653.25596390401</v>
      </c>
      <c r="O89" s="64">
        <f t="shared" si="18"/>
        <v>62.589700316890791</v>
      </c>
      <c r="P89" s="57">
        <v>1880</v>
      </c>
      <c r="Q89" s="56">
        <f t="shared" si="19"/>
        <v>117668.6365957547</v>
      </c>
      <c r="R89" s="64">
        <f t="shared" si="20"/>
        <v>64.717750127665084</v>
      </c>
      <c r="S89" s="57">
        <v>1880</v>
      </c>
      <c r="T89" s="56">
        <f t="shared" si="21"/>
        <v>121669.37024001036</v>
      </c>
    </row>
    <row r="90" spans="1:20" x14ac:dyDescent="0.15">
      <c r="A90" s="20" t="s">
        <v>58</v>
      </c>
      <c r="B90" s="75" t="s">
        <v>82</v>
      </c>
      <c r="C90" s="17" t="s">
        <v>69</v>
      </c>
      <c r="D90" s="55">
        <f t="shared" si="11"/>
        <v>9400</v>
      </c>
      <c r="E90" s="56">
        <f t="shared" si="12"/>
        <v>573692.71175966912</v>
      </c>
      <c r="F90" s="64">
        <v>57.647234042553194</v>
      </c>
      <c r="G90" s="57">
        <v>1880</v>
      </c>
      <c r="H90" s="56">
        <f t="shared" si="13"/>
        <v>108376.8</v>
      </c>
      <c r="I90" s="64">
        <f t="shared" si="14"/>
        <v>59.215238808510641</v>
      </c>
      <c r="J90" s="57">
        <v>1880</v>
      </c>
      <c r="K90" s="56">
        <f t="shared" si="15"/>
        <v>111324.64896000001</v>
      </c>
      <c r="L90" s="64">
        <f t="shared" si="16"/>
        <v>60.98577444888511</v>
      </c>
      <c r="M90" s="57">
        <v>1880</v>
      </c>
      <c r="N90" s="56">
        <f t="shared" si="17"/>
        <v>114653.25596390401</v>
      </c>
      <c r="O90" s="64">
        <f t="shared" si="18"/>
        <v>62.589700316890791</v>
      </c>
      <c r="P90" s="57">
        <v>1880</v>
      </c>
      <c r="Q90" s="56">
        <f t="shared" si="19"/>
        <v>117668.6365957547</v>
      </c>
      <c r="R90" s="64">
        <f t="shared" si="20"/>
        <v>64.717750127665084</v>
      </c>
      <c r="S90" s="57">
        <v>1880</v>
      </c>
      <c r="T90" s="56">
        <f t="shared" si="21"/>
        <v>121669.37024001036</v>
      </c>
    </row>
    <row r="91" spans="1:20" x14ac:dyDescent="0.15">
      <c r="A91" s="20" t="s">
        <v>58</v>
      </c>
      <c r="B91" s="75" t="s">
        <v>82</v>
      </c>
      <c r="C91" s="17" t="s">
        <v>69</v>
      </c>
      <c r="D91" s="55">
        <f t="shared" si="11"/>
        <v>9400</v>
      </c>
      <c r="E91" s="56">
        <f t="shared" si="12"/>
        <v>573692.71175966912</v>
      </c>
      <c r="F91" s="64">
        <v>57.647234042553194</v>
      </c>
      <c r="G91" s="57">
        <v>1880</v>
      </c>
      <c r="H91" s="56">
        <f t="shared" si="13"/>
        <v>108376.8</v>
      </c>
      <c r="I91" s="64">
        <f t="shared" si="14"/>
        <v>59.215238808510641</v>
      </c>
      <c r="J91" s="57">
        <v>1880</v>
      </c>
      <c r="K91" s="56">
        <f t="shared" si="15"/>
        <v>111324.64896000001</v>
      </c>
      <c r="L91" s="64">
        <f t="shared" si="16"/>
        <v>60.98577444888511</v>
      </c>
      <c r="M91" s="57">
        <v>1880</v>
      </c>
      <c r="N91" s="56">
        <f t="shared" si="17"/>
        <v>114653.25596390401</v>
      </c>
      <c r="O91" s="64">
        <f t="shared" si="18"/>
        <v>62.589700316890791</v>
      </c>
      <c r="P91" s="57">
        <v>1880</v>
      </c>
      <c r="Q91" s="56">
        <f t="shared" si="19"/>
        <v>117668.6365957547</v>
      </c>
      <c r="R91" s="64">
        <f t="shared" si="20"/>
        <v>64.717750127665084</v>
      </c>
      <c r="S91" s="57">
        <v>1880</v>
      </c>
      <c r="T91" s="56">
        <f t="shared" si="21"/>
        <v>121669.37024001036</v>
      </c>
    </row>
    <row r="92" spans="1:20" x14ac:dyDescent="0.15">
      <c r="A92" s="20" t="s">
        <v>58</v>
      </c>
      <c r="B92" s="75" t="s">
        <v>87</v>
      </c>
      <c r="C92" s="17" t="s">
        <v>92</v>
      </c>
      <c r="D92" s="55">
        <f t="shared" si="11"/>
        <v>9400</v>
      </c>
      <c r="E92" s="56">
        <f t="shared" si="12"/>
        <v>594380.24347151106</v>
      </c>
      <c r="F92" s="64">
        <v>59.726010638297879</v>
      </c>
      <c r="G92" s="57">
        <v>1880</v>
      </c>
      <c r="H92" s="56">
        <f t="shared" si="13"/>
        <v>112284.90000000001</v>
      </c>
      <c r="I92" s="64">
        <f t="shared" si="14"/>
        <v>61.350558127659582</v>
      </c>
      <c r="J92" s="57">
        <v>1880</v>
      </c>
      <c r="K92" s="56">
        <f t="shared" si="15"/>
        <v>115339.04928000002</v>
      </c>
      <c r="L92" s="64">
        <f t="shared" si="16"/>
        <v>63.1849398156766</v>
      </c>
      <c r="M92" s="57">
        <v>1880</v>
      </c>
      <c r="N92" s="56">
        <f t="shared" si="17"/>
        <v>118787.68685347201</v>
      </c>
      <c r="O92" s="64">
        <f t="shared" si="18"/>
        <v>64.8467037328289</v>
      </c>
      <c r="P92" s="57">
        <v>1880</v>
      </c>
      <c r="Q92" s="56">
        <f t="shared" si="19"/>
        <v>121911.80301771832</v>
      </c>
      <c r="R92" s="64">
        <f t="shared" si="20"/>
        <v>67.051491659745082</v>
      </c>
      <c r="S92" s="57">
        <v>1880</v>
      </c>
      <c r="T92" s="56">
        <f t="shared" si="21"/>
        <v>126056.80432032075</v>
      </c>
    </row>
    <row r="93" spans="1:20" x14ac:dyDescent="0.15">
      <c r="A93" s="20" t="s">
        <v>58</v>
      </c>
      <c r="B93" s="75" t="s">
        <v>88</v>
      </c>
      <c r="C93" s="17" t="s">
        <v>67</v>
      </c>
      <c r="D93" s="55">
        <f t="shared" si="11"/>
        <v>9400</v>
      </c>
      <c r="E93" s="56">
        <f t="shared" si="12"/>
        <v>472300.56790174334</v>
      </c>
      <c r="F93" s="64">
        <v>47.458893617021275</v>
      </c>
      <c r="G93" s="57">
        <v>1880</v>
      </c>
      <c r="H93" s="56">
        <f t="shared" si="13"/>
        <v>89222.720000000001</v>
      </c>
      <c r="I93" s="64">
        <f t="shared" si="14"/>
        <v>48.749775523404253</v>
      </c>
      <c r="J93" s="57">
        <v>1880</v>
      </c>
      <c r="K93" s="56">
        <f t="shared" si="15"/>
        <v>91649.577983999989</v>
      </c>
      <c r="L93" s="64">
        <f t="shared" si="16"/>
        <v>50.207393811554041</v>
      </c>
      <c r="M93" s="57">
        <v>1880</v>
      </c>
      <c r="N93" s="56">
        <f t="shared" si="17"/>
        <v>94389.900365721594</v>
      </c>
      <c r="O93" s="64">
        <f t="shared" si="18"/>
        <v>51.527848268797911</v>
      </c>
      <c r="P93" s="57">
        <v>1880</v>
      </c>
      <c r="Q93" s="56">
        <f t="shared" si="19"/>
        <v>96872.354745340068</v>
      </c>
      <c r="R93" s="64">
        <f t="shared" si="20"/>
        <v>53.279795109937041</v>
      </c>
      <c r="S93" s="57">
        <v>1880</v>
      </c>
      <c r="T93" s="56">
        <f t="shared" si="21"/>
        <v>100166.01480668163</v>
      </c>
    </row>
    <row r="94" spans="1:20" x14ac:dyDescent="0.15">
      <c r="A94" s="20" t="s">
        <v>58</v>
      </c>
      <c r="B94" s="75" t="s">
        <v>88</v>
      </c>
      <c r="C94" s="17" t="s">
        <v>67</v>
      </c>
      <c r="D94" s="55">
        <f t="shared" si="11"/>
        <v>9400</v>
      </c>
      <c r="E94" s="56">
        <f t="shared" si="12"/>
        <v>472300.56790174334</v>
      </c>
      <c r="F94" s="64">
        <v>47.458893617021275</v>
      </c>
      <c r="G94" s="57">
        <v>1880</v>
      </c>
      <c r="H94" s="56">
        <f t="shared" si="13"/>
        <v>89222.720000000001</v>
      </c>
      <c r="I94" s="64">
        <f t="shared" si="14"/>
        <v>48.749775523404253</v>
      </c>
      <c r="J94" s="57">
        <v>1880</v>
      </c>
      <c r="K94" s="56">
        <f t="shared" si="15"/>
        <v>91649.577983999989</v>
      </c>
      <c r="L94" s="64">
        <f t="shared" si="16"/>
        <v>50.207393811554041</v>
      </c>
      <c r="M94" s="57">
        <v>1880</v>
      </c>
      <c r="N94" s="56">
        <f t="shared" si="17"/>
        <v>94389.900365721594</v>
      </c>
      <c r="O94" s="64">
        <f t="shared" si="18"/>
        <v>51.527848268797911</v>
      </c>
      <c r="P94" s="57">
        <v>1880</v>
      </c>
      <c r="Q94" s="56">
        <f t="shared" si="19"/>
        <v>96872.354745340068</v>
      </c>
      <c r="R94" s="64">
        <f t="shared" si="20"/>
        <v>53.279795109937041</v>
      </c>
      <c r="S94" s="57">
        <v>1880</v>
      </c>
      <c r="T94" s="56">
        <f t="shared" si="21"/>
        <v>100166.01480668163</v>
      </c>
    </row>
    <row r="95" spans="1:20" x14ac:dyDescent="0.15">
      <c r="A95" s="20" t="s">
        <v>12</v>
      </c>
      <c r="B95" s="21"/>
      <c r="C95" s="17"/>
      <c r="D95" s="55">
        <f t="shared" si="11"/>
        <v>720040</v>
      </c>
      <c r="E95" s="56">
        <f t="shared" si="12"/>
        <v>42611245.820903093</v>
      </c>
      <c r="F95" s="18"/>
      <c r="G95" s="57">
        <f>SUM(G11:G94)</f>
        <v>142880</v>
      </c>
      <c r="H95" s="56">
        <f>SUM(H11:H94)</f>
        <v>7968867.6119999997</v>
      </c>
      <c r="I95" s="18"/>
      <c r="J95" s="57">
        <f>SUM(J11:J94)</f>
        <v>139120</v>
      </c>
      <c r="K95" s="56">
        <f>SUM(K11:K94)</f>
        <v>7983545.2608383903</v>
      </c>
      <c r="L95" s="18"/>
      <c r="M95" s="57">
        <f>SUM(M11:M94)</f>
        <v>144760</v>
      </c>
      <c r="N95" s="56">
        <f>SUM(N11:N94)</f>
        <v>8547264.9165372215</v>
      </c>
      <c r="O95" s="18"/>
      <c r="P95" s="57">
        <f>SUM(P11:P94)</f>
        <v>144760</v>
      </c>
      <c r="Q95" s="56">
        <f>SUM(Q11:Q94)</f>
        <v>8772057.983842155</v>
      </c>
      <c r="R95" s="18"/>
      <c r="S95" s="57">
        <f>SUM(S11:S94)</f>
        <v>148520</v>
      </c>
      <c r="T95" s="56">
        <f>SUM(T11:T94)</f>
        <v>9339510.0476853289</v>
      </c>
    </row>
    <row r="96" spans="1:20" x14ac:dyDescent="0.15">
      <c r="A96" s="15" t="s">
        <v>13</v>
      </c>
      <c r="B96" s="16"/>
      <c r="C96" s="17"/>
      <c r="D96" s="18"/>
      <c r="E96" s="17"/>
      <c r="F96" s="18"/>
      <c r="G96" s="19"/>
      <c r="H96" s="17"/>
      <c r="I96" s="18"/>
      <c r="J96" s="19"/>
      <c r="K96" s="17"/>
      <c r="L96" s="18"/>
      <c r="M96" s="19"/>
      <c r="N96" s="17"/>
      <c r="O96" s="18"/>
      <c r="P96" s="19"/>
      <c r="Q96" s="17"/>
      <c r="R96" s="18"/>
      <c r="S96" s="19"/>
      <c r="T96" s="17"/>
    </row>
    <row r="97" spans="1:20" x14ac:dyDescent="0.15">
      <c r="A97" s="20" t="s">
        <v>14</v>
      </c>
      <c r="B97" s="21"/>
      <c r="C97" s="17"/>
      <c r="D97" s="18"/>
      <c r="E97" s="56">
        <f t="shared" si="12"/>
        <v>3777985.4935991638</v>
      </c>
      <c r="F97" s="59">
        <v>7.1099999999999997E-2</v>
      </c>
      <c r="G97" s="60">
        <f>H95+H98</f>
        <v>9937177.9121639989</v>
      </c>
      <c r="H97" s="56">
        <f>F97*G97</f>
        <v>706533.34955486027</v>
      </c>
      <c r="I97" s="59">
        <v>7.1099999999999997E-2</v>
      </c>
      <c r="J97" s="60">
        <f>K95+K98</f>
        <v>9955480.940265473</v>
      </c>
      <c r="K97" s="56">
        <f>I97*J97</f>
        <v>707834.69485287508</v>
      </c>
      <c r="L97" s="59">
        <v>7.1099999999999997E-2</v>
      </c>
      <c r="M97" s="60">
        <f>N95+N98</f>
        <v>10658439.350921916</v>
      </c>
      <c r="N97" s="56">
        <f>L97*M97</f>
        <v>757815.03785054816</v>
      </c>
      <c r="O97" s="59">
        <v>7.1099999999999997E-2</v>
      </c>
      <c r="P97" s="60">
        <f>Q95+Q98</f>
        <v>10938756.305851167</v>
      </c>
      <c r="Q97" s="56">
        <f>O97*P97</f>
        <v>777745.57334601798</v>
      </c>
      <c r="R97" s="59">
        <v>7.1099999999999997E-2</v>
      </c>
      <c r="S97" s="60">
        <f>T95+T98</f>
        <v>11646369.029463604</v>
      </c>
      <c r="T97" s="56">
        <f>R97*S97</f>
        <v>828056.83799486223</v>
      </c>
    </row>
    <row r="98" spans="1:20" x14ac:dyDescent="0.15">
      <c r="A98" s="20" t="s">
        <v>15</v>
      </c>
      <c r="B98" s="21"/>
      <c r="C98" s="17"/>
      <c r="D98" s="18"/>
      <c r="E98" s="56">
        <f t="shared" si="12"/>
        <v>10524977.717763064</v>
      </c>
      <c r="F98" s="59">
        <v>0.247</v>
      </c>
      <c r="G98" s="60">
        <f>H95</f>
        <v>7968867.6119999997</v>
      </c>
      <c r="H98" s="56">
        <f>F98*G98</f>
        <v>1968310.3001639999</v>
      </c>
      <c r="I98" s="59">
        <v>0.247</v>
      </c>
      <c r="J98" s="60">
        <f>K95</f>
        <v>7983545.2608383903</v>
      </c>
      <c r="K98" s="56">
        <f>I98*J98</f>
        <v>1971935.6794270824</v>
      </c>
      <c r="L98" s="59">
        <v>0.247</v>
      </c>
      <c r="M98" s="60">
        <f>N95</f>
        <v>8547264.9165372215</v>
      </c>
      <c r="N98" s="56">
        <f>L98*M98</f>
        <v>2111174.4343846939</v>
      </c>
      <c r="O98" s="59">
        <v>0.247</v>
      </c>
      <c r="P98" s="60">
        <f>Q95</f>
        <v>8772057.983842155</v>
      </c>
      <c r="Q98" s="56">
        <f>O98*P98</f>
        <v>2166698.3220090121</v>
      </c>
      <c r="R98" s="59">
        <v>0.247</v>
      </c>
      <c r="S98" s="60">
        <f>T95</f>
        <v>9339510.0476853289</v>
      </c>
      <c r="T98" s="56">
        <f>R98*S98</f>
        <v>2306858.9817782762</v>
      </c>
    </row>
    <row r="99" spans="1:20" x14ac:dyDescent="0.15">
      <c r="A99" s="20" t="s">
        <v>16</v>
      </c>
      <c r="B99" s="21"/>
      <c r="C99" s="17"/>
      <c r="D99" s="18"/>
      <c r="E99" s="56">
        <f t="shared" si="12"/>
        <v>12765857.085937113</v>
      </c>
      <c r="F99" s="59">
        <v>0.2243</v>
      </c>
      <c r="G99" s="60">
        <f>H95+H98+H97</f>
        <v>10643711.26171886</v>
      </c>
      <c r="H99" s="56">
        <f>F99*G99</f>
        <v>2387384.4360035402</v>
      </c>
      <c r="I99" s="59">
        <v>0.2243</v>
      </c>
      <c r="J99" s="60">
        <f>K95+K98+K97</f>
        <v>10663315.635118349</v>
      </c>
      <c r="K99" s="56">
        <f>I99*J99</f>
        <v>2391781.6969570457</v>
      </c>
      <c r="L99" s="59">
        <v>0.2243</v>
      </c>
      <c r="M99" s="60">
        <f>N95+N98+N97</f>
        <v>11416254.388772463</v>
      </c>
      <c r="N99" s="56">
        <f>L99*M99</f>
        <v>2560665.8594016638</v>
      </c>
      <c r="O99" s="59">
        <v>0.2243</v>
      </c>
      <c r="P99" s="60">
        <f>Q95+Q98+Q97</f>
        <v>11716501.879197186</v>
      </c>
      <c r="Q99" s="56">
        <f>O99*P99</f>
        <v>2628011.3715039287</v>
      </c>
      <c r="R99" s="59">
        <v>0.2243</v>
      </c>
      <c r="S99" s="60">
        <f>T95+T98+T97</f>
        <v>12474425.867458466</v>
      </c>
      <c r="T99" s="56">
        <f>R99*S99</f>
        <v>2798013.7220709338</v>
      </c>
    </row>
    <row r="100" spans="1:20" x14ac:dyDescent="0.15">
      <c r="A100" s="20" t="s">
        <v>17</v>
      </c>
      <c r="B100" s="21"/>
      <c r="C100" s="17"/>
      <c r="D100" s="18"/>
      <c r="E100" s="56">
        <f t="shared" si="12"/>
        <v>27068820.29729934</v>
      </c>
      <c r="F100" s="18"/>
      <c r="G100" s="19"/>
      <c r="H100" s="56">
        <f>H97+H98+H99</f>
        <v>5062228.0857223999</v>
      </c>
      <c r="I100" s="18"/>
      <c r="J100" s="19"/>
      <c r="K100" s="56">
        <f>K97+K98+K99</f>
        <v>5071552.0712370034</v>
      </c>
      <c r="L100" s="18"/>
      <c r="M100" s="19"/>
      <c r="N100" s="56">
        <f>N97+N98+N99</f>
        <v>5429655.3316369057</v>
      </c>
      <c r="O100" s="18"/>
      <c r="P100" s="19"/>
      <c r="Q100" s="56">
        <f>Q97+Q98+Q99</f>
        <v>5572455.2668589586</v>
      </c>
      <c r="R100" s="18"/>
      <c r="S100" s="19"/>
      <c r="T100" s="56">
        <f>T97+T98+T99</f>
        <v>5932929.5418440718</v>
      </c>
    </row>
    <row r="101" spans="1:20" x14ac:dyDescent="0.15">
      <c r="A101" s="15" t="s">
        <v>18</v>
      </c>
      <c r="B101" s="16"/>
      <c r="C101" s="17"/>
      <c r="D101" s="18"/>
      <c r="E101" s="56">
        <f t="shared" si="12"/>
        <v>69680066.118202433</v>
      </c>
      <c r="F101" s="18"/>
      <c r="G101" s="19"/>
      <c r="H101" s="56">
        <f>H95+H100</f>
        <v>13031095.6977224</v>
      </c>
      <c r="I101" s="18"/>
      <c r="J101" s="19"/>
      <c r="K101" s="56">
        <f>K95+K100</f>
        <v>13055097.332075395</v>
      </c>
      <c r="L101" s="18"/>
      <c r="M101" s="19"/>
      <c r="N101" s="56">
        <f>N95+N100</f>
        <v>13976920.248174127</v>
      </c>
      <c r="O101" s="18"/>
      <c r="P101" s="19"/>
      <c r="Q101" s="56">
        <f>Q95+Q100</f>
        <v>14344513.250701115</v>
      </c>
      <c r="R101" s="18"/>
      <c r="S101" s="19"/>
      <c r="T101" s="56">
        <f>T95+T100</f>
        <v>15272439.589529401</v>
      </c>
    </row>
    <row r="102" spans="1:20" x14ac:dyDescent="0.15">
      <c r="A102" s="15" t="s">
        <v>19</v>
      </c>
      <c r="B102" s="16"/>
      <c r="C102" s="17"/>
      <c r="D102" s="18"/>
      <c r="E102" s="56">
        <f t="shared" si="12"/>
        <v>0</v>
      </c>
      <c r="F102" s="18"/>
      <c r="G102" s="19"/>
      <c r="H102" s="61">
        <v>0</v>
      </c>
      <c r="I102" s="58"/>
      <c r="J102" s="62"/>
      <c r="K102" s="61">
        <v>0</v>
      </c>
      <c r="L102" s="58"/>
      <c r="M102" s="62"/>
      <c r="N102" s="61">
        <v>0</v>
      </c>
      <c r="O102" s="58"/>
      <c r="P102" s="62"/>
      <c r="Q102" s="61">
        <v>0</v>
      </c>
      <c r="R102" s="58"/>
      <c r="S102" s="62"/>
      <c r="T102" s="61">
        <v>0</v>
      </c>
    </row>
    <row r="103" spans="1:20" x14ac:dyDescent="0.15">
      <c r="A103" s="15" t="s">
        <v>20</v>
      </c>
      <c r="B103" s="16"/>
      <c r="C103" s="17"/>
      <c r="D103" s="18"/>
      <c r="E103" s="56">
        <f t="shared" si="12"/>
        <v>69680066.120000005</v>
      </c>
      <c r="F103" s="18"/>
      <c r="G103" s="19"/>
      <c r="H103" s="56">
        <f>ROUND(H101+H102,2)</f>
        <v>13031095.699999999</v>
      </c>
      <c r="I103" s="18"/>
      <c r="J103" s="19"/>
      <c r="K103" s="56">
        <f>ROUND(K101+K102,2)</f>
        <v>13055097.33</v>
      </c>
      <c r="L103" s="18"/>
      <c r="M103" s="19"/>
      <c r="N103" s="56">
        <f>ROUND(N101+N102,2)</f>
        <v>13976920.25</v>
      </c>
      <c r="O103" s="18"/>
      <c r="P103" s="19"/>
      <c r="Q103" s="56">
        <f>ROUND(Q101+Q102,2)</f>
        <v>14344513.25</v>
      </c>
      <c r="R103" s="18"/>
      <c r="S103" s="19"/>
      <c r="T103" s="56">
        <f>ROUND(T101+T102,2)</f>
        <v>15272439.59</v>
      </c>
    </row>
    <row r="104" spans="1:20" x14ac:dyDescent="0.15">
      <c r="A104" s="18"/>
      <c r="B104" s="22"/>
      <c r="C104" s="17"/>
      <c r="D104" s="18"/>
      <c r="E104" s="17"/>
      <c r="F104" s="18"/>
      <c r="G104" s="19"/>
      <c r="H104" s="17"/>
      <c r="I104" s="18"/>
      <c r="J104" s="19"/>
      <c r="K104" s="17"/>
      <c r="L104" s="18"/>
      <c r="M104" s="19"/>
      <c r="N104" s="17"/>
      <c r="O104" s="18"/>
      <c r="P104" s="19"/>
      <c r="Q104" s="17"/>
      <c r="R104" s="18"/>
      <c r="S104" s="19"/>
      <c r="T104" s="17"/>
    </row>
    <row r="105" spans="1:20" x14ac:dyDescent="0.15">
      <c r="A105" s="23" t="s">
        <v>21</v>
      </c>
      <c r="B105" s="24"/>
      <c r="C105" s="17"/>
      <c r="D105" s="18"/>
      <c r="E105" s="17"/>
      <c r="F105" s="18"/>
      <c r="G105" s="19"/>
      <c r="H105" s="17"/>
      <c r="I105" s="18"/>
      <c r="J105" s="19"/>
      <c r="K105" s="17"/>
      <c r="L105" s="18"/>
      <c r="M105" s="19"/>
      <c r="N105" s="17"/>
      <c r="O105" s="18"/>
      <c r="P105" s="19"/>
      <c r="Q105" s="17"/>
      <c r="R105" s="18"/>
      <c r="S105" s="19"/>
      <c r="T105" s="17"/>
    </row>
    <row r="106" spans="1:20" x14ac:dyDescent="0.15">
      <c r="A106" s="15" t="s">
        <v>22</v>
      </c>
      <c r="B106" s="16"/>
      <c r="C106" s="17"/>
      <c r="D106" s="55"/>
      <c r="E106" s="56"/>
      <c r="F106" s="64"/>
      <c r="G106" s="57"/>
      <c r="H106" s="56"/>
      <c r="I106" s="64"/>
      <c r="J106" s="57"/>
      <c r="K106" s="56"/>
      <c r="L106" s="64"/>
      <c r="M106" s="57"/>
      <c r="N106" s="56"/>
      <c r="O106" s="64"/>
      <c r="P106" s="57"/>
      <c r="Q106" s="56"/>
      <c r="R106" s="64"/>
      <c r="S106" s="57"/>
      <c r="T106" s="56"/>
    </row>
    <row r="107" spans="1:20" x14ac:dyDescent="0.15">
      <c r="A107" s="63" t="s">
        <v>56</v>
      </c>
      <c r="B107" s="16"/>
      <c r="C107" s="17"/>
      <c r="D107" s="55"/>
      <c r="E107" s="56"/>
      <c r="F107" s="64"/>
      <c r="G107" s="57"/>
      <c r="H107" s="56"/>
      <c r="I107" s="64"/>
      <c r="J107" s="57"/>
      <c r="K107" s="56"/>
      <c r="L107" s="64"/>
      <c r="M107" s="57"/>
      <c r="N107" s="56"/>
      <c r="O107" s="64"/>
      <c r="P107" s="57"/>
      <c r="Q107" s="56"/>
      <c r="R107" s="64"/>
      <c r="S107" s="57"/>
      <c r="T107" s="56"/>
    </row>
    <row r="108" spans="1:20" x14ac:dyDescent="0.15">
      <c r="A108" s="15" t="s">
        <v>109</v>
      </c>
      <c r="B108" s="16" t="s">
        <v>97</v>
      </c>
      <c r="C108" s="65" t="s">
        <v>64</v>
      </c>
      <c r="D108" s="55">
        <f t="shared" ref="D108:D120" si="22">G108+J108+M108+P108+S108</f>
        <v>9400</v>
      </c>
      <c r="E108" s="56">
        <f t="shared" ref="E108:E120" si="23">H108+K108+N108+Q108+T108</f>
        <v>1068159.6000000001</v>
      </c>
      <c r="F108" s="64">
        <v>107.33</v>
      </c>
      <c r="G108" s="57">
        <v>1880</v>
      </c>
      <c r="H108" s="56">
        <f t="shared" ref="H108:H120" si="24">F108*G108</f>
        <v>201780.4</v>
      </c>
      <c r="I108" s="64">
        <f>ROUND(F108+(F108*$I$2),2)</f>
        <v>110.25</v>
      </c>
      <c r="J108" s="57">
        <v>1880</v>
      </c>
      <c r="K108" s="56">
        <f t="shared" ref="K108:K120" si="25">I108*J108</f>
        <v>207270</v>
      </c>
      <c r="L108" s="64">
        <f>ROUND(I108+(I108*$L$2),2)</f>
        <v>113.55</v>
      </c>
      <c r="M108" s="57">
        <v>1880</v>
      </c>
      <c r="N108" s="56">
        <f t="shared" ref="N108:N120" si="26">L108*M108</f>
        <v>213474</v>
      </c>
      <c r="O108" s="64">
        <f>ROUND(L108+(L108*$O$2),2)</f>
        <v>116.54</v>
      </c>
      <c r="P108" s="57">
        <v>1880</v>
      </c>
      <c r="Q108" s="56">
        <f t="shared" ref="Q108:Q120" si="27">O108*P108</f>
        <v>219095.2</v>
      </c>
      <c r="R108" s="64">
        <f>ROUND(O108+(O108*$R$2),2)</f>
        <v>120.5</v>
      </c>
      <c r="S108" s="57">
        <v>1880</v>
      </c>
      <c r="T108" s="56">
        <f t="shared" ref="T108:T120" si="28">R108*S108</f>
        <v>226540</v>
      </c>
    </row>
    <row r="109" spans="1:20" x14ac:dyDescent="0.15">
      <c r="A109" s="15" t="s">
        <v>110</v>
      </c>
      <c r="B109" s="16" t="s">
        <v>97</v>
      </c>
      <c r="C109" s="65" t="s">
        <v>64</v>
      </c>
      <c r="D109" s="55">
        <f t="shared" si="22"/>
        <v>9400</v>
      </c>
      <c r="E109" s="56">
        <f t="shared" si="23"/>
        <v>1068159.6000000001</v>
      </c>
      <c r="F109" s="64">
        <v>107.33</v>
      </c>
      <c r="G109" s="57">
        <v>1880</v>
      </c>
      <c r="H109" s="56">
        <f t="shared" si="24"/>
        <v>201780.4</v>
      </c>
      <c r="I109" s="64">
        <f t="shared" ref="I109:I120" si="29">ROUND(F109+(F109*$I$2),2)</f>
        <v>110.25</v>
      </c>
      <c r="J109" s="57">
        <v>1880</v>
      </c>
      <c r="K109" s="56">
        <f t="shared" si="25"/>
        <v>207270</v>
      </c>
      <c r="L109" s="64">
        <f t="shared" ref="L109:L120" si="30">ROUND(I109+(I109*$L$2),2)</f>
        <v>113.55</v>
      </c>
      <c r="M109" s="57">
        <v>1880</v>
      </c>
      <c r="N109" s="56">
        <f t="shared" si="26"/>
        <v>213474</v>
      </c>
      <c r="O109" s="64">
        <f t="shared" ref="O109:O120" si="31">ROUND(L109+(L109*$O$2),2)</f>
        <v>116.54</v>
      </c>
      <c r="P109" s="57">
        <v>1880</v>
      </c>
      <c r="Q109" s="56">
        <f t="shared" si="27"/>
        <v>219095.2</v>
      </c>
      <c r="R109" s="64">
        <f t="shared" ref="R109:R120" si="32">ROUND(O109+(O109*$R$2),2)</f>
        <v>120.5</v>
      </c>
      <c r="S109" s="57">
        <v>1880</v>
      </c>
      <c r="T109" s="56">
        <f t="shared" si="28"/>
        <v>226540</v>
      </c>
    </row>
    <row r="110" spans="1:20" x14ac:dyDescent="0.15">
      <c r="A110" s="15" t="s">
        <v>111</v>
      </c>
      <c r="B110" s="16" t="s">
        <v>97</v>
      </c>
      <c r="C110" s="65" t="s">
        <v>64</v>
      </c>
      <c r="D110" s="55">
        <f t="shared" si="22"/>
        <v>9400</v>
      </c>
      <c r="E110" s="56">
        <f t="shared" si="23"/>
        <v>1068159.6000000001</v>
      </c>
      <c r="F110" s="64">
        <v>107.33</v>
      </c>
      <c r="G110" s="57">
        <v>1880</v>
      </c>
      <c r="H110" s="56">
        <f t="shared" si="24"/>
        <v>201780.4</v>
      </c>
      <c r="I110" s="64">
        <f t="shared" si="29"/>
        <v>110.25</v>
      </c>
      <c r="J110" s="57">
        <v>1880</v>
      </c>
      <c r="K110" s="56">
        <f t="shared" si="25"/>
        <v>207270</v>
      </c>
      <c r="L110" s="64">
        <f t="shared" si="30"/>
        <v>113.55</v>
      </c>
      <c r="M110" s="57">
        <v>1880</v>
      </c>
      <c r="N110" s="56">
        <f t="shared" si="26"/>
        <v>213474</v>
      </c>
      <c r="O110" s="64">
        <f t="shared" si="31"/>
        <v>116.54</v>
      </c>
      <c r="P110" s="57">
        <v>1880</v>
      </c>
      <c r="Q110" s="56">
        <f t="shared" si="27"/>
        <v>219095.2</v>
      </c>
      <c r="R110" s="64">
        <f t="shared" si="32"/>
        <v>120.5</v>
      </c>
      <c r="S110" s="57">
        <v>1880</v>
      </c>
      <c r="T110" s="56">
        <f t="shared" si="28"/>
        <v>226540</v>
      </c>
    </row>
    <row r="111" spans="1:20" x14ac:dyDescent="0.15">
      <c r="A111" s="15" t="s">
        <v>112</v>
      </c>
      <c r="B111" s="16" t="s">
        <v>97</v>
      </c>
      <c r="C111" s="65" t="s">
        <v>64</v>
      </c>
      <c r="D111" s="55">
        <f t="shared" si="22"/>
        <v>9400</v>
      </c>
      <c r="E111" s="56">
        <f t="shared" si="23"/>
        <v>1068159.6000000001</v>
      </c>
      <c r="F111" s="64">
        <v>107.33</v>
      </c>
      <c r="G111" s="57">
        <v>1880</v>
      </c>
      <c r="H111" s="56">
        <f t="shared" si="24"/>
        <v>201780.4</v>
      </c>
      <c r="I111" s="64">
        <f t="shared" si="29"/>
        <v>110.25</v>
      </c>
      <c r="J111" s="57">
        <v>1880</v>
      </c>
      <c r="K111" s="56">
        <f t="shared" si="25"/>
        <v>207270</v>
      </c>
      <c r="L111" s="64">
        <f t="shared" si="30"/>
        <v>113.55</v>
      </c>
      <c r="M111" s="57">
        <v>1880</v>
      </c>
      <c r="N111" s="56">
        <f t="shared" si="26"/>
        <v>213474</v>
      </c>
      <c r="O111" s="64">
        <f t="shared" si="31"/>
        <v>116.54</v>
      </c>
      <c r="P111" s="57">
        <v>1880</v>
      </c>
      <c r="Q111" s="56">
        <f t="shared" si="27"/>
        <v>219095.2</v>
      </c>
      <c r="R111" s="64">
        <f t="shared" si="32"/>
        <v>120.5</v>
      </c>
      <c r="S111" s="57">
        <v>1880</v>
      </c>
      <c r="T111" s="56">
        <f t="shared" si="28"/>
        <v>226540</v>
      </c>
    </row>
    <row r="112" spans="1:20" x14ac:dyDescent="0.15">
      <c r="A112" s="15" t="s">
        <v>113</v>
      </c>
      <c r="B112" s="16" t="s">
        <v>97</v>
      </c>
      <c r="C112" s="65" t="s">
        <v>64</v>
      </c>
      <c r="D112" s="55">
        <f t="shared" si="22"/>
        <v>9400</v>
      </c>
      <c r="E112" s="56">
        <f t="shared" si="23"/>
        <v>1068159.6000000001</v>
      </c>
      <c r="F112" s="64">
        <v>107.33</v>
      </c>
      <c r="G112" s="57">
        <v>1880</v>
      </c>
      <c r="H112" s="56">
        <f t="shared" si="24"/>
        <v>201780.4</v>
      </c>
      <c r="I112" s="64">
        <f t="shared" si="29"/>
        <v>110.25</v>
      </c>
      <c r="J112" s="57">
        <v>1880</v>
      </c>
      <c r="K112" s="56">
        <f t="shared" si="25"/>
        <v>207270</v>
      </c>
      <c r="L112" s="64">
        <f t="shared" si="30"/>
        <v>113.55</v>
      </c>
      <c r="M112" s="57">
        <v>1880</v>
      </c>
      <c r="N112" s="56">
        <f t="shared" si="26"/>
        <v>213474</v>
      </c>
      <c r="O112" s="64">
        <f t="shared" si="31"/>
        <v>116.54</v>
      </c>
      <c r="P112" s="57">
        <v>1880</v>
      </c>
      <c r="Q112" s="56">
        <f t="shared" si="27"/>
        <v>219095.2</v>
      </c>
      <c r="R112" s="64">
        <f t="shared" si="32"/>
        <v>120.5</v>
      </c>
      <c r="S112" s="57">
        <v>1880</v>
      </c>
      <c r="T112" s="56">
        <f t="shared" si="28"/>
        <v>226540</v>
      </c>
    </row>
    <row r="113" spans="1:20" x14ac:dyDescent="0.15">
      <c r="A113" s="15" t="s">
        <v>114</v>
      </c>
      <c r="B113" s="16" t="s">
        <v>99</v>
      </c>
      <c r="C113" s="65" t="s">
        <v>65</v>
      </c>
      <c r="D113" s="55">
        <f t="shared" si="22"/>
        <v>9400</v>
      </c>
      <c r="E113" s="56">
        <f t="shared" si="23"/>
        <v>772322.8</v>
      </c>
      <c r="F113" s="64">
        <v>77.61</v>
      </c>
      <c r="G113" s="57">
        <v>1880</v>
      </c>
      <c r="H113" s="56">
        <f t="shared" si="24"/>
        <v>145906.79999999999</v>
      </c>
      <c r="I113" s="64">
        <f t="shared" si="29"/>
        <v>79.72</v>
      </c>
      <c r="J113" s="57">
        <v>1880</v>
      </c>
      <c r="K113" s="56">
        <f t="shared" si="25"/>
        <v>149873.60000000001</v>
      </c>
      <c r="L113" s="64">
        <f t="shared" si="30"/>
        <v>82.1</v>
      </c>
      <c r="M113" s="57">
        <v>1880</v>
      </c>
      <c r="N113" s="56">
        <f t="shared" si="26"/>
        <v>154348</v>
      </c>
      <c r="O113" s="64">
        <f t="shared" si="31"/>
        <v>84.26</v>
      </c>
      <c r="P113" s="57">
        <v>1880</v>
      </c>
      <c r="Q113" s="56">
        <f t="shared" si="27"/>
        <v>158408.80000000002</v>
      </c>
      <c r="R113" s="64">
        <f t="shared" si="32"/>
        <v>87.12</v>
      </c>
      <c r="S113" s="57">
        <v>1880</v>
      </c>
      <c r="T113" s="56">
        <f t="shared" si="28"/>
        <v>163785.60000000001</v>
      </c>
    </row>
    <row r="114" spans="1:20" x14ac:dyDescent="0.15">
      <c r="A114" s="15" t="s">
        <v>115</v>
      </c>
      <c r="B114" s="16" t="s">
        <v>99</v>
      </c>
      <c r="C114" s="65" t="s">
        <v>65</v>
      </c>
      <c r="D114" s="55">
        <f t="shared" si="22"/>
        <v>9400</v>
      </c>
      <c r="E114" s="56">
        <f t="shared" si="23"/>
        <v>772322.8</v>
      </c>
      <c r="F114" s="64">
        <v>77.61</v>
      </c>
      <c r="G114" s="57">
        <v>1880</v>
      </c>
      <c r="H114" s="56">
        <f t="shared" si="24"/>
        <v>145906.79999999999</v>
      </c>
      <c r="I114" s="64">
        <f t="shared" si="29"/>
        <v>79.72</v>
      </c>
      <c r="J114" s="57">
        <v>1880</v>
      </c>
      <c r="K114" s="56">
        <f t="shared" si="25"/>
        <v>149873.60000000001</v>
      </c>
      <c r="L114" s="64">
        <f t="shared" si="30"/>
        <v>82.1</v>
      </c>
      <c r="M114" s="57">
        <v>1880</v>
      </c>
      <c r="N114" s="56">
        <f t="shared" si="26"/>
        <v>154348</v>
      </c>
      <c r="O114" s="64">
        <f t="shared" si="31"/>
        <v>84.26</v>
      </c>
      <c r="P114" s="57">
        <v>1880</v>
      </c>
      <c r="Q114" s="56">
        <f t="shared" si="27"/>
        <v>158408.80000000002</v>
      </c>
      <c r="R114" s="64">
        <f t="shared" si="32"/>
        <v>87.12</v>
      </c>
      <c r="S114" s="57">
        <v>1880</v>
      </c>
      <c r="T114" s="56">
        <f t="shared" si="28"/>
        <v>163785.60000000001</v>
      </c>
    </row>
    <row r="115" spans="1:20" x14ac:dyDescent="0.15">
      <c r="A115" s="15" t="s">
        <v>116</v>
      </c>
      <c r="B115" s="16" t="s">
        <v>99</v>
      </c>
      <c r="C115" s="65" t="s">
        <v>65</v>
      </c>
      <c r="D115" s="55">
        <f t="shared" si="22"/>
        <v>9400</v>
      </c>
      <c r="E115" s="56">
        <f t="shared" si="23"/>
        <v>772322.8</v>
      </c>
      <c r="F115" s="64">
        <v>77.61</v>
      </c>
      <c r="G115" s="57">
        <v>1880</v>
      </c>
      <c r="H115" s="56">
        <f t="shared" si="24"/>
        <v>145906.79999999999</v>
      </c>
      <c r="I115" s="64">
        <f t="shared" si="29"/>
        <v>79.72</v>
      </c>
      <c r="J115" s="57">
        <v>1880</v>
      </c>
      <c r="K115" s="56">
        <f t="shared" si="25"/>
        <v>149873.60000000001</v>
      </c>
      <c r="L115" s="64">
        <f t="shared" si="30"/>
        <v>82.1</v>
      </c>
      <c r="M115" s="57">
        <v>1880</v>
      </c>
      <c r="N115" s="56">
        <f t="shared" si="26"/>
        <v>154348</v>
      </c>
      <c r="O115" s="64">
        <f t="shared" si="31"/>
        <v>84.26</v>
      </c>
      <c r="P115" s="57">
        <v>1880</v>
      </c>
      <c r="Q115" s="56">
        <f t="shared" si="27"/>
        <v>158408.80000000002</v>
      </c>
      <c r="R115" s="64">
        <f t="shared" si="32"/>
        <v>87.12</v>
      </c>
      <c r="S115" s="57">
        <v>1880</v>
      </c>
      <c r="T115" s="56">
        <f t="shared" si="28"/>
        <v>163785.60000000001</v>
      </c>
    </row>
    <row r="116" spans="1:20" x14ac:dyDescent="0.15">
      <c r="A116" s="15" t="s">
        <v>117</v>
      </c>
      <c r="B116" s="16" t="s">
        <v>99</v>
      </c>
      <c r="C116" s="65" t="s">
        <v>65</v>
      </c>
      <c r="D116" s="55">
        <f t="shared" si="22"/>
        <v>9400</v>
      </c>
      <c r="E116" s="56">
        <f t="shared" si="23"/>
        <v>772322.8</v>
      </c>
      <c r="F116" s="64">
        <v>77.61</v>
      </c>
      <c r="G116" s="57">
        <v>1880</v>
      </c>
      <c r="H116" s="56">
        <f t="shared" si="24"/>
        <v>145906.79999999999</v>
      </c>
      <c r="I116" s="64">
        <f t="shared" si="29"/>
        <v>79.72</v>
      </c>
      <c r="J116" s="57">
        <v>1880</v>
      </c>
      <c r="K116" s="56">
        <f t="shared" si="25"/>
        <v>149873.60000000001</v>
      </c>
      <c r="L116" s="64">
        <f t="shared" si="30"/>
        <v>82.1</v>
      </c>
      <c r="M116" s="57">
        <v>1880</v>
      </c>
      <c r="N116" s="56">
        <f t="shared" si="26"/>
        <v>154348</v>
      </c>
      <c r="O116" s="64">
        <f t="shared" si="31"/>
        <v>84.26</v>
      </c>
      <c r="P116" s="57">
        <v>1880</v>
      </c>
      <c r="Q116" s="56">
        <f t="shared" si="27"/>
        <v>158408.80000000002</v>
      </c>
      <c r="R116" s="64">
        <f t="shared" si="32"/>
        <v>87.12</v>
      </c>
      <c r="S116" s="57">
        <v>1880</v>
      </c>
      <c r="T116" s="56">
        <f t="shared" si="28"/>
        <v>163785.60000000001</v>
      </c>
    </row>
    <row r="117" spans="1:20" x14ac:dyDescent="0.15">
      <c r="A117" s="15" t="s">
        <v>118</v>
      </c>
      <c r="B117" s="16" t="s">
        <v>98</v>
      </c>
      <c r="C117" s="65" t="s">
        <v>64</v>
      </c>
      <c r="D117" s="55">
        <f t="shared" si="22"/>
        <v>9400</v>
      </c>
      <c r="E117" s="56">
        <f t="shared" si="23"/>
        <v>1046351.5999999999</v>
      </c>
      <c r="F117" s="64">
        <v>105.14</v>
      </c>
      <c r="G117" s="57">
        <v>1880</v>
      </c>
      <c r="H117" s="56">
        <f t="shared" si="24"/>
        <v>197663.2</v>
      </c>
      <c r="I117" s="64">
        <f t="shared" si="29"/>
        <v>108</v>
      </c>
      <c r="J117" s="57">
        <v>1880</v>
      </c>
      <c r="K117" s="56">
        <f t="shared" si="25"/>
        <v>203040</v>
      </c>
      <c r="L117" s="64">
        <f t="shared" si="30"/>
        <v>111.23</v>
      </c>
      <c r="M117" s="57">
        <v>1880</v>
      </c>
      <c r="N117" s="56">
        <f t="shared" si="26"/>
        <v>209112.4</v>
      </c>
      <c r="O117" s="64">
        <f t="shared" si="31"/>
        <v>114.16</v>
      </c>
      <c r="P117" s="57">
        <v>1880</v>
      </c>
      <c r="Q117" s="56">
        <f t="shared" si="27"/>
        <v>214620.79999999999</v>
      </c>
      <c r="R117" s="64">
        <f t="shared" si="32"/>
        <v>118.04</v>
      </c>
      <c r="S117" s="57">
        <v>1880</v>
      </c>
      <c r="T117" s="56">
        <f t="shared" si="28"/>
        <v>221915.2</v>
      </c>
    </row>
    <row r="118" spans="1:20" x14ac:dyDescent="0.15">
      <c r="A118" s="15" t="s">
        <v>119</v>
      </c>
      <c r="B118" s="16" t="s">
        <v>98</v>
      </c>
      <c r="C118" s="65" t="s">
        <v>64</v>
      </c>
      <c r="D118" s="55">
        <f t="shared" si="22"/>
        <v>9400</v>
      </c>
      <c r="E118" s="56">
        <f t="shared" si="23"/>
        <v>1046351.5999999999</v>
      </c>
      <c r="F118" s="64">
        <v>105.14</v>
      </c>
      <c r="G118" s="57">
        <v>1880</v>
      </c>
      <c r="H118" s="56">
        <f t="shared" si="24"/>
        <v>197663.2</v>
      </c>
      <c r="I118" s="64">
        <f t="shared" si="29"/>
        <v>108</v>
      </c>
      <c r="J118" s="57">
        <v>1880</v>
      </c>
      <c r="K118" s="56">
        <f t="shared" si="25"/>
        <v>203040</v>
      </c>
      <c r="L118" s="64">
        <f t="shared" si="30"/>
        <v>111.23</v>
      </c>
      <c r="M118" s="57">
        <v>1880</v>
      </c>
      <c r="N118" s="56">
        <f t="shared" si="26"/>
        <v>209112.4</v>
      </c>
      <c r="O118" s="64">
        <f t="shared" si="31"/>
        <v>114.16</v>
      </c>
      <c r="P118" s="57">
        <v>1880</v>
      </c>
      <c r="Q118" s="56">
        <f t="shared" si="27"/>
        <v>214620.79999999999</v>
      </c>
      <c r="R118" s="64">
        <f t="shared" si="32"/>
        <v>118.04</v>
      </c>
      <c r="S118" s="57">
        <v>1880</v>
      </c>
      <c r="T118" s="56">
        <f t="shared" si="28"/>
        <v>221915.2</v>
      </c>
    </row>
    <row r="119" spans="1:20" x14ac:dyDescent="0.15">
      <c r="A119" s="15" t="s">
        <v>120</v>
      </c>
      <c r="B119" s="16" t="s">
        <v>98</v>
      </c>
      <c r="C119" s="65" t="s">
        <v>64</v>
      </c>
      <c r="D119" s="55">
        <f t="shared" si="22"/>
        <v>9400</v>
      </c>
      <c r="E119" s="56">
        <f t="shared" si="23"/>
        <v>1046351.5999999999</v>
      </c>
      <c r="F119" s="64">
        <v>105.14</v>
      </c>
      <c r="G119" s="57">
        <v>1880</v>
      </c>
      <c r="H119" s="56">
        <f t="shared" si="24"/>
        <v>197663.2</v>
      </c>
      <c r="I119" s="64">
        <f t="shared" si="29"/>
        <v>108</v>
      </c>
      <c r="J119" s="57">
        <v>1880</v>
      </c>
      <c r="K119" s="56">
        <f t="shared" si="25"/>
        <v>203040</v>
      </c>
      <c r="L119" s="64">
        <f t="shared" si="30"/>
        <v>111.23</v>
      </c>
      <c r="M119" s="57">
        <v>1880</v>
      </c>
      <c r="N119" s="56">
        <f t="shared" si="26"/>
        <v>209112.4</v>
      </c>
      <c r="O119" s="64">
        <f t="shared" si="31"/>
        <v>114.16</v>
      </c>
      <c r="P119" s="57">
        <v>1880</v>
      </c>
      <c r="Q119" s="56">
        <f t="shared" si="27"/>
        <v>214620.79999999999</v>
      </c>
      <c r="R119" s="64">
        <f t="shared" si="32"/>
        <v>118.04</v>
      </c>
      <c r="S119" s="57">
        <v>1880</v>
      </c>
      <c r="T119" s="56">
        <f t="shared" si="28"/>
        <v>221915.2</v>
      </c>
    </row>
    <row r="120" spans="1:20" x14ac:dyDescent="0.15">
      <c r="A120" s="15" t="s">
        <v>121</v>
      </c>
      <c r="B120" s="16" t="s">
        <v>98</v>
      </c>
      <c r="C120" s="65" t="s">
        <v>64</v>
      </c>
      <c r="D120" s="55">
        <f t="shared" si="22"/>
        <v>9400</v>
      </c>
      <c r="E120" s="56">
        <f t="shared" si="23"/>
        <v>1046351.5999999999</v>
      </c>
      <c r="F120" s="64">
        <v>105.14</v>
      </c>
      <c r="G120" s="57">
        <v>1880</v>
      </c>
      <c r="H120" s="56">
        <f t="shared" si="24"/>
        <v>197663.2</v>
      </c>
      <c r="I120" s="64">
        <f t="shared" si="29"/>
        <v>108</v>
      </c>
      <c r="J120" s="57">
        <v>1880</v>
      </c>
      <c r="K120" s="56">
        <f t="shared" si="25"/>
        <v>203040</v>
      </c>
      <c r="L120" s="64">
        <f t="shared" si="30"/>
        <v>111.23</v>
      </c>
      <c r="M120" s="57">
        <v>1880</v>
      </c>
      <c r="N120" s="56">
        <f t="shared" si="26"/>
        <v>209112.4</v>
      </c>
      <c r="O120" s="64">
        <f t="shared" si="31"/>
        <v>114.16</v>
      </c>
      <c r="P120" s="57">
        <v>1880</v>
      </c>
      <c r="Q120" s="56">
        <f t="shared" si="27"/>
        <v>214620.79999999999</v>
      </c>
      <c r="R120" s="64">
        <f t="shared" si="32"/>
        <v>118.04</v>
      </c>
      <c r="S120" s="57">
        <v>1880</v>
      </c>
      <c r="T120" s="56">
        <f t="shared" si="28"/>
        <v>221915.2</v>
      </c>
    </row>
    <row r="121" spans="1:20" x14ac:dyDescent="0.15">
      <c r="A121" s="15"/>
      <c r="B121" s="16"/>
      <c r="C121" s="17"/>
      <c r="D121" s="55">
        <f t="shared" ref="D121" si="33">G121+J121+M121+P121+S121</f>
        <v>122200</v>
      </c>
      <c r="E121" s="56">
        <f t="shared" ref="E121" si="34">H121+K121+N121+Q121+T121</f>
        <v>12615495.600000001</v>
      </c>
      <c r="F121" s="18"/>
      <c r="G121" s="57">
        <f>SUM(G108:G120)</f>
        <v>24440</v>
      </c>
      <c r="H121" s="56">
        <f>SUM(H108:H120)</f>
        <v>2383182.0000000005</v>
      </c>
      <c r="I121" s="18"/>
      <c r="J121" s="57">
        <f>SUM(J108:J120)</f>
        <v>24440</v>
      </c>
      <c r="K121" s="56">
        <f>SUM(K108:K120)</f>
        <v>2448004.4000000004</v>
      </c>
      <c r="L121" s="18"/>
      <c r="M121" s="57">
        <f>SUM(M108:M120)</f>
        <v>24440</v>
      </c>
      <c r="N121" s="56">
        <f>SUM(N108:N120)</f>
        <v>2521211.5999999996</v>
      </c>
      <c r="O121" s="18"/>
      <c r="P121" s="57">
        <f>SUM(P108:P120)</f>
        <v>24440</v>
      </c>
      <c r="Q121" s="56">
        <f>SUM(Q108:Q120)</f>
        <v>2587594.4</v>
      </c>
      <c r="R121" s="18"/>
      <c r="S121" s="57">
        <f>SUM(S108:S120)</f>
        <v>24440</v>
      </c>
      <c r="T121" s="56">
        <f>SUM(T108:T120)</f>
        <v>2675503.2000000007</v>
      </c>
    </row>
    <row r="122" spans="1:20" x14ac:dyDescent="0.15">
      <c r="A122" s="63" t="s">
        <v>57</v>
      </c>
      <c r="B122" s="16"/>
      <c r="C122" s="17"/>
      <c r="D122" s="18"/>
      <c r="E122" s="17"/>
      <c r="F122" s="18"/>
      <c r="G122" s="19"/>
      <c r="H122" s="17"/>
      <c r="I122" s="18"/>
      <c r="J122" s="19"/>
      <c r="K122" s="17"/>
      <c r="L122" s="18"/>
      <c r="M122" s="19"/>
      <c r="N122" s="17"/>
      <c r="O122" s="18"/>
      <c r="P122" s="19"/>
      <c r="Q122" s="17"/>
      <c r="R122" s="18"/>
      <c r="S122" s="19"/>
      <c r="T122" s="17"/>
    </row>
    <row r="123" spans="1:20" x14ac:dyDescent="0.15">
      <c r="A123" s="15" t="s">
        <v>58</v>
      </c>
      <c r="B123" s="16" t="s">
        <v>59</v>
      </c>
      <c r="C123" s="17" t="s">
        <v>66</v>
      </c>
      <c r="D123" s="55">
        <f t="shared" ref="D123:D125" si="35">G123+J123+M123+P123+S123</f>
        <v>9400</v>
      </c>
      <c r="E123" s="56">
        <f t="shared" ref="E123:E125" si="36">H123+K123+N123+Q123+T123</f>
        <v>954983.6</v>
      </c>
      <c r="F123" s="64">
        <v>95.96</v>
      </c>
      <c r="G123" s="57">
        <v>1880</v>
      </c>
      <c r="H123" s="56">
        <f t="shared" ref="H123:H124" si="37">F123*G123</f>
        <v>180404.8</v>
      </c>
      <c r="I123" s="64">
        <f t="shared" ref="I123:I124" si="38">ROUND(F123+(F123*$I$2),2)</f>
        <v>98.57</v>
      </c>
      <c r="J123" s="57">
        <v>1880</v>
      </c>
      <c r="K123" s="56">
        <f t="shared" ref="K123:K124" si="39">I123*J123</f>
        <v>185311.59999999998</v>
      </c>
      <c r="L123" s="64">
        <f t="shared" ref="L123:L124" si="40">ROUND(I123+(I123*$L$2),2)</f>
        <v>101.52</v>
      </c>
      <c r="M123" s="57">
        <v>1880</v>
      </c>
      <c r="N123" s="56">
        <f t="shared" ref="N123:N124" si="41">L123*M123</f>
        <v>190857.60000000001</v>
      </c>
      <c r="O123" s="64">
        <f t="shared" ref="O123:O124" si="42">ROUND(L123+(L123*$O$2),2)</f>
        <v>104.19</v>
      </c>
      <c r="P123" s="57">
        <v>1880</v>
      </c>
      <c r="Q123" s="56">
        <f t="shared" ref="Q123:Q124" si="43">O123*P123</f>
        <v>195877.19999999998</v>
      </c>
      <c r="R123" s="64">
        <f t="shared" ref="R123:R124" si="44">ROUND(O123+(O123*$R$2),2)</f>
        <v>107.73</v>
      </c>
      <c r="S123" s="57">
        <v>1880</v>
      </c>
      <c r="T123" s="56">
        <f t="shared" ref="T123:T124" si="45">R123*S123</f>
        <v>202532.4</v>
      </c>
    </row>
    <row r="124" spans="1:20" x14ac:dyDescent="0.15">
      <c r="A124" s="15" t="s">
        <v>110</v>
      </c>
      <c r="B124" s="16" t="s">
        <v>60</v>
      </c>
      <c r="C124" s="17" t="s">
        <v>67</v>
      </c>
      <c r="D124" s="55">
        <f t="shared" si="35"/>
        <v>9400</v>
      </c>
      <c r="E124" s="56">
        <f t="shared" si="36"/>
        <v>1063158.7999999998</v>
      </c>
      <c r="F124" s="64">
        <v>106.83</v>
      </c>
      <c r="G124" s="57">
        <v>1880</v>
      </c>
      <c r="H124" s="56">
        <f t="shared" si="37"/>
        <v>200840.4</v>
      </c>
      <c r="I124" s="64">
        <f t="shared" si="38"/>
        <v>109.74</v>
      </c>
      <c r="J124" s="57">
        <v>1880</v>
      </c>
      <c r="K124" s="56">
        <f t="shared" si="39"/>
        <v>206311.19999999998</v>
      </c>
      <c r="L124" s="64">
        <f t="shared" si="40"/>
        <v>113.02</v>
      </c>
      <c r="M124" s="57">
        <v>1880</v>
      </c>
      <c r="N124" s="56">
        <f t="shared" si="41"/>
        <v>212477.6</v>
      </c>
      <c r="O124" s="64">
        <f t="shared" si="42"/>
        <v>115.99</v>
      </c>
      <c r="P124" s="57">
        <v>1880</v>
      </c>
      <c r="Q124" s="56">
        <f t="shared" si="43"/>
        <v>218061.19999999998</v>
      </c>
      <c r="R124" s="64">
        <f t="shared" si="44"/>
        <v>119.93</v>
      </c>
      <c r="S124" s="57">
        <v>1880</v>
      </c>
      <c r="T124" s="56">
        <f t="shared" si="45"/>
        <v>225468.40000000002</v>
      </c>
    </row>
    <row r="125" spans="1:20" x14ac:dyDescent="0.15">
      <c r="A125" s="15"/>
      <c r="B125" s="16"/>
      <c r="C125" s="17"/>
      <c r="D125" s="55">
        <f t="shared" si="35"/>
        <v>18800</v>
      </c>
      <c r="E125" s="56">
        <f t="shared" si="36"/>
        <v>2018142.4</v>
      </c>
      <c r="F125" s="18"/>
      <c r="G125" s="57">
        <f>SUM(G123:G124)</f>
        <v>3760</v>
      </c>
      <c r="H125" s="56">
        <f>SUM(H123:H124)</f>
        <v>381245.19999999995</v>
      </c>
      <c r="I125" s="18"/>
      <c r="J125" s="57">
        <f>SUM(J123:J124)</f>
        <v>3760</v>
      </c>
      <c r="K125" s="56">
        <f>SUM(K123:K124)</f>
        <v>391622.79999999993</v>
      </c>
      <c r="L125" s="18"/>
      <c r="M125" s="57">
        <f>SUM(M123:M124)</f>
        <v>3760</v>
      </c>
      <c r="N125" s="56">
        <f>SUM(N123:N124)</f>
        <v>403335.2</v>
      </c>
      <c r="O125" s="18"/>
      <c r="P125" s="57">
        <f>SUM(P123:P124)</f>
        <v>3760</v>
      </c>
      <c r="Q125" s="56">
        <f>SUM(Q123:Q124)</f>
        <v>413938.39999999997</v>
      </c>
      <c r="R125" s="18"/>
      <c r="S125" s="57">
        <f>SUM(S123:S124)</f>
        <v>3760</v>
      </c>
      <c r="T125" s="56">
        <f>SUM(T123:T124)</f>
        <v>428000.80000000005</v>
      </c>
    </row>
    <row r="126" spans="1:20" x14ac:dyDescent="0.15">
      <c r="A126" s="63" t="s">
        <v>61</v>
      </c>
      <c r="B126" s="16"/>
      <c r="C126" s="17"/>
      <c r="D126" s="18"/>
      <c r="E126" s="17"/>
      <c r="F126" s="18"/>
      <c r="G126" s="19"/>
      <c r="H126" s="17"/>
      <c r="I126" s="18"/>
      <c r="J126" s="19"/>
      <c r="K126" s="17"/>
      <c r="L126" s="18"/>
      <c r="M126" s="19"/>
      <c r="N126" s="17"/>
      <c r="O126" s="18"/>
      <c r="P126" s="19"/>
      <c r="Q126" s="17"/>
      <c r="R126" s="18"/>
      <c r="S126" s="19"/>
      <c r="T126" s="17"/>
    </row>
    <row r="127" spans="1:20" x14ac:dyDescent="0.15">
      <c r="A127" s="15" t="s">
        <v>109</v>
      </c>
      <c r="B127" s="16" t="s">
        <v>62</v>
      </c>
      <c r="C127" s="17" t="s">
        <v>68</v>
      </c>
      <c r="D127" s="55">
        <f t="shared" ref="D127:D132" si="46">G127+J127+M127+P127+S127</f>
        <v>9400</v>
      </c>
      <c r="E127" s="56">
        <f t="shared" ref="E127:E132" si="47">H127+K127+N127+Q127+T127</f>
        <v>1330513.6000000001</v>
      </c>
      <c r="F127" s="64">
        <v>133.69</v>
      </c>
      <c r="G127" s="57">
        <v>1880</v>
      </c>
      <c r="H127" s="56">
        <f t="shared" ref="H127:H131" si="48">F127*G127</f>
        <v>251337.19999999998</v>
      </c>
      <c r="I127" s="64">
        <f t="shared" ref="I127:I131" si="49">ROUND(F127+(F127*$I$2),2)</f>
        <v>137.33000000000001</v>
      </c>
      <c r="J127" s="57">
        <v>1880</v>
      </c>
      <c r="K127" s="56">
        <f t="shared" ref="K127:K131" si="50">I127*J127</f>
        <v>258180.40000000002</v>
      </c>
      <c r="L127" s="64">
        <f t="shared" ref="L127:L131" si="51">ROUND(I127+(I127*$L$2),2)</f>
        <v>141.44</v>
      </c>
      <c r="M127" s="57">
        <v>1880</v>
      </c>
      <c r="N127" s="56">
        <f t="shared" ref="N127:N131" si="52">L127*M127</f>
        <v>265907.20000000001</v>
      </c>
      <c r="O127" s="64">
        <f t="shared" ref="O127:O131" si="53">ROUND(L127+(L127*$O$2),2)</f>
        <v>145.16</v>
      </c>
      <c r="P127" s="57">
        <v>1880</v>
      </c>
      <c r="Q127" s="56">
        <f t="shared" ref="Q127:Q131" si="54">O127*P127</f>
        <v>272900.8</v>
      </c>
      <c r="R127" s="64">
        <f t="shared" ref="R127:R131" si="55">ROUND(O127+(O127*$R$2),2)</f>
        <v>150.1</v>
      </c>
      <c r="S127" s="57">
        <v>1880</v>
      </c>
      <c r="T127" s="56">
        <f t="shared" ref="T127:T131" si="56">R127*S127</f>
        <v>282188</v>
      </c>
    </row>
    <row r="128" spans="1:20" x14ac:dyDescent="0.15">
      <c r="A128" s="15" t="s">
        <v>110</v>
      </c>
      <c r="B128" s="16" t="s">
        <v>63</v>
      </c>
      <c r="C128" s="17" t="s">
        <v>64</v>
      </c>
      <c r="D128" s="55">
        <f t="shared" si="46"/>
        <v>9400</v>
      </c>
      <c r="E128" s="56">
        <f t="shared" si="47"/>
        <v>1310830.0000000002</v>
      </c>
      <c r="F128" s="64">
        <v>131.72</v>
      </c>
      <c r="G128" s="57">
        <v>1880</v>
      </c>
      <c r="H128" s="56">
        <f t="shared" si="48"/>
        <v>247633.6</v>
      </c>
      <c r="I128" s="64">
        <f t="shared" si="49"/>
        <v>135.30000000000001</v>
      </c>
      <c r="J128" s="57">
        <v>1880</v>
      </c>
      <c r="K128" s="56">
        <f t="shared" si="50"/>
        <v>254364.00000000003</v>
      </c>
      <c r="L128" s="64">
        <f t="shared" si="51"/>
        <v>139.35</v>
      </c>
      <c r="M128" s="57">
        <v>1880</v>
      </c>
      <c r="N128" s="56">
        <f t="shared" si="52"/>
        <v>261978</v>
      </c>
      <c r="O128" s="64">
        <f t="shared" si="53"/>
        <v>143.01</v>
      </c>
      <c r="P128" s="57">
        <v>1880</v>
      </c>
      <c r="Q128" s="56">
        <f t="shared" si="54"/>
        <v>268858.8</v>
      </c>
      <c r="R128" s="64">
        <f t="shared" si="55"/>
        <v>147.87</v>
      </c>
      <c r="S128" s="57">
        <v>1880</v>
      </c>
      <c r="T128" s="56">
        <f t="shared" si="56"/>
        <v>277995.60000000003</v>
      </c>
    </row>
    <row r="129" spans="1:20" x14ac:dyDescent="0.15">
      <c r="A129" s="15" t="s">
        <v>111</v>
      </c>
      <c r="B129" s="16" t="s">
        <v>63</v>
      </c>
      <c r="C129" s="17" t="s">
        <v>69</v>
      </c>
      <c r="D129" s="55">
        <f t="shared" si="46"/>
        <v>9400</v>
      </c>
      <c r="E129" s="56">
        <f t="shared" si="47"/>
        <v>1210964.3999999999</v>
      </c>
      <c r="F129" s="64">
        <v>121.68</v>
      </c>
      <c r="G129" s="57">
        <v>1880</v>
      </c>
      <c r="H129" s="56">
        <f t="shared" si="48"/>
        <v>228758.40000000002</v>
      </c>
      <c r="I129" s="64">
        <f t="shared" si="49"/>
        <v>124.99</v>
      </c>
      <c r="J129" s="57">
        <v>1880</v>
      </c>
      <c r="K129" s="56">
        <f t="shared" si="50"/>
        <v>234981.19999999998</v>
      </c>
      <c r="L129" s="64">
        <f t="shared" si="51"/>
        <v>128.72999999999999</v>
      </c>
      <c r="M129" s="57">
        <v>1880</v>
      </c>
      <c r="N129" s="56">
        <f t="shared" si="52"/>
        <v>242012.4</v>
      </c>
      <c r="O129" s="64">
        <f t="shared" si="53"/>
        <v>132.12</v>
      </c>
      <c r="P129" s="57">
        <v>1880</v>
      </c>
      <c r="Q129" s="56">
        <f t="shared" si="54"/>
        <v>248385.6</v>
      </c>
      <c r="R129" s="64">
        <f t="shared" si="55"/>
        <v>136.61000000000001</v>
      </c>
      <c r="S129" s="57">
        <v>1880</v>
      </c>
      <c r="T129" s="56">
        <f t="shared" si="56"/>
        <v>256826.80000000002</v>
      </c>
    </row>
    <row r="130" spans="1:20" x14ac:dyDescent="0.15">
      <c r="A130" s="15" t="s">
        <v>58</v>
      </c>
      <c r="B130" s="16" t="s">
        <v>63</v>
      </c>
      <c r="C130" s="17" t="s">
        <v>69</v>
      </c>
      <c r="D130" s="55">
        <f t="shared" si="46"/>
        <v>9400</v>
      </c>
      <c r="E130" s="56">
        <f t="shared" si="47"/>
        <v>1210964.3999999999</v>
      </c>
      <c r="F130" s="64">
        <v>121.68</v>
      </c>
      <c r="G130" s="57">
        <v>1880</v>
      </c>
      <c r="H130" s="56">
        <f t="shared" si="48"/>
        <v>228758.40000000002</v>
      </c>
      <c r="I130" s="64">
        <f t="shared" si="49"/>
        <v>124.99</v>
      </c>
      <c r="J130" s="57">
        <v>1880</v>
      </c>
      <c r="K130" s="56">
        <f t="shared" si="50"/>
        <v>234981.19999999998</v>
      </c>
      <c r="L130" s="64">
        <f t="shared" si="51"/>
        <v>128.72999999999999</v>
      </c>
      <c r="M130" s="57">
        <v>1880</v>
      </c>
      <c r="N130" s="56">
        <f t="shared" si="52"/>
        <v>242012.4</v>
      </c>
      <c r="O130" s="64">
        <f t="shared" si="53"/>
        <v>132.12</v>
      </c>
      <c r="P130" s="57">
        <v>1880</v>
      </c>
      <c r="Q130" s="56">
        <f t="shared" si="54"/>
        <v>248385.6</v>
      </c>
      <c r="R130" s="64">
        <f t="shared" si="55"/>
        <v>136.61000000000001</v>
      </c>
      <c r="S130" s="57">
        <v>1880</v>
      </c>
      <c r="T130" s="56">
        <f t="shared" si="56"/>
        <v>256826.80000000002</v>
      </c>
    </row>
    <row r="131" spans="1:20" x14ac:dyDescent="0.15">
      <c r="A131" s="15" t="s">
        <v>58</v>
      </c>
      <c r="B131" s="16" t="s">
        <v>63</v>
      </c>
      <c r="C131" s="17" t="s">
        <v>69</v>
      </c>
      <c r="D131" s="55">
        <f t="shared" si="46"/>
        <v>9400</v>
      </c>
      <c r="E131" s="56">
        <f t="shared" si="47"/>
        <v>1210964.3999999999</v>
      </c>
      <c r="F131" s="64">
        <v>121.68</v>
      </c>
      <c r="G131" s="57">
        <v>1880</v>
      </c>
      <c r="H131" s="56">
        <f t="shared" si="48"/>
        <v>228758.40000000002</v>
      </c>
      <c r="I131" s="64">
        <f t="shared" si="49"/>
        <v>124.99</v>
      </c>
      <c r="J131" s="57">
        <v>1880</v>
      </c>
      <c r="K131" s="56">
        <f t="shared" si="50"/>
        <v>234981.19999999998</v>
      </c>
      <c r="L131" s="64">
        <f t="shared" si="51"/>
        <v>128.72999999999999</v>
      </c>
      <c r="M131" s="57">
        <v>1880</v>
      </c>
      <c r="N131" s="56">
        <f t="shared" si="52"/>
        <v>242012.4</v>
      </c>
      <c r="O131" s="64">
        <f t="shared" si="53"/>
        <v>132.12</v>
      </c>
      <c r="P131" s="57">
        <v>1880</v>
      </c>
      <c r="Q131" s="56">
        <f t="shared" si="54"/>
        <v>248385.6</v>
      </c>
      <c r="R131" s="64">
        <f t="shared" si="55"/>
        <v>136.61000000000001</v>
      </c>
      <c r="S131" s="57">
        <v>1880</v>
      </c>
      <c r="T131" s="56">
        <f t="shared" si="56"/>
        <v>256826.80000000002</v>
      </c>
    </row>
    <row r="132" spans="1:20" x14ac:dyDescent="0.15">
      <c r="A132" s="15"/>
      <c r="B132" s="16"/>
      <c r="C132" s="17"/>
      <c r="D132" s="55">
        <f t="shared" si="46"/>
        <v>47000</v>
      </c>
      <c r="E132" s="56">
        <f t="shared" si="47"/>
        <v>6274236.7999999998</v>
      </c>
      <c r="F132" s="18"/>
      <c r="G132" s="57">
        <f>SUM(G127:G131)</f>
        <v>9400</v>
      </c>
      <c r="H132" s="56">
        <f>SUM(H127:H131)</f>
        <v>1185246</v>
      </c>
      <c r="I132" s="18"/>
      <c r="J132" s="57">
        <f>SUM(J127:J131)</f>
        <v>9400</v>
      </c>
      <c r="K132" s="56">
        <f>SUM(K127:K131)</f>
        <v>1217488</v>
      </c>
      <c r="L132" s="18"/>
      <c r="M132" s="57">
        <f>SUM(M127:M131)</f>
        <v>9400</v>
      </c>
      <c r="N132" s="56">
        <f>SUM(N127:N131)</f>
        <v>1253922.3999999999</v>
      </c>
      <c r="O132" s="18"/>
      <c r="P132" s="57">
        <f>SUM(P127:P131)</f>
        <v>9400</v>
      </c>
      <c r="Q132" s="56">
        <f>SUM(Q127:Q131)</f>
        <v>1286916.3999999999</v>
      </c>
      <c r="R132" s="18"/>
      <c r="S132" s="57">
        <f>SUM(S127:S131)</f>
        <v>9400</v>
      </c>
      <c r="T132" s="56">
        <f>SUM(T127:T131)</f>
        <v>1330664.0000000002</v>
      </c>
    </row>
    <row r="133" spans="1:20" x14ac:dyDescent="0.15">
      <c r="A133" s="63" t="s">
        <v>70</v>
      </c>
      <c r="B133" s="16"/>
      <c r="C133" s="17"/>
      <c r="D133" s="18"/>
      <c r="E133" s="17"/>
      <c r="F133" s="18"/>
      <c r="G133" s="19"/>
      <c r="H133" s="17"/>
      <c r="I133" s="18"/>
      <c r="J133" s="19"/>
      <c r="K133" s="17"/>
      <c r="L133" s="18"/>
      <c r="M133" s="19"/>
      <c r="N133" s="17"/>
      <c r="O133" s="18"/>
      <c r="P133" s="19"/>
      <c r="Q133" s="17"/>
      <c r="R133" s="18"/>
      <c r="S133" s="19"/>
      <c r="T133" s="17"/>
    </row>
    <row r="134" spans="1:20" x14ac:dyDescent="0.15">
      <c r="A134" s="15" t="s">
        <v>109</v>
      </c>
      <c r="B134" s="16" t="s">
        <v>71</v>
      </c>
      <c r="C134" s="65" t="s">
        <v>64</v>
      </c>
      <c r="D134" s="55">
        <f t="shared" ref="D134:D145" si="57">G134+J134+M134+P134+S134</f>
        <v>9400</v>
      </c>
      <c r="E134" s="56">
        <f t="shared" ref="E134:E145" si="58">H134+K134+N134+Q134+T134</f>
        <v>1074119.2</v>
      </c>
      <c r="F134" s="64">
        <v>108.39</v>
      </c>
      <c r="G134" s="57">
        <v>1880</v>
      </c>
      <c r="H134" s="56">
        <f t="shared" ref="H134:H144" si="59">F134*G134</f>
        <v>203773.2</v>
      </c>
      <c r="I134" s="64">
        <v>110.75</v>
      </c>
      <c r="J134" s="57">
        <v>1880</v>
      </c>
      <c r="K134" s="56">
        <f t="shared" ref="K134:K144" si="60">I134*J134</f>
        <v>208210</v>
      </c>
      <c r="L134" s="64">
        <v>113.97</v>
      </c>
      <c r="M134" s="57">
        <v>1880</v>
      </c>
      <c r="N134" s="56">
        <f t="shared" ref="N134:N144" si="61">L134*M134</f>
        <v>214263.6</v>
      </c>
      <c r="O134" s="64">
        <v>117.25</v>
      </c>
      <c r="P134" s="57">
        <v>1880</v>
      </c>
      <c r="Q134" s="56">
        <f t="shared" ref="Q134:Q144" si="62">O134*P134</f>
        <v>220430</v>
      </c>
      <c r="R134" s="64">
        <v>120.98</v>
      </c>
      <c r="S134" s="57">
        <v>1880</v>
      </c>
      <c r="T134" s="56">
        <f t="shared" ref="T134:T144" si="63">R134*S134</f>
        <v>227442.4</v>
      </c>
    </row>
    <row r="135" spans="1:20" x14ac:dyDescent="0.15">
      <c r="A135" s="15" t="s">
        <v>110</v>
      </c>
      <c r="B135" s="16" t="s">
        <v>71</v>
      </c>
      <c r="C135" s="65" t="s">
        <v>64</v>
      </c>
      <c r="D135" s="55">
        <f t="shared" si="57"/>
        <v>9400</v>
      </c>
      <c r="E135" s="56">
        <f t="shared" si="58"/>
        <v>1074119.2</v>
      </c>
      <c r="F135" s="64">
        <v>108.39</v>
      </c>
      <c r="G135" s="57">
        <v>1880</v>
      </c>
      <c r="H135" s="56">
        <f t="shared" si="59"/>
        <v>203773.2</v>
      </c>
      <c r="I135" s="64">
        <v>110.75</v>
      </c>
      <c r="J135" s="57">
        <v>1880</v>
      </c>
      <c r="K135" s="56">
        <f t="shared" si="60"/>
        <v>208210</v>
      </c>
      <c r="L135" s="64">
        <v>113.97</v>
      </c>
      <c r="M135" s="57">
        <v>1880</v>
      </c>
      <c r="N135" s="56">
        <f t="shared" si="61"/>
        <v>214263.6</v>
      </c>
      <c r="O135" s="64">
        <v>117.25</v>
      </c>
      <c r="P135" s="57">
        <v>1880</v>
      </c>
      <c r="Q135" s="56">
        <f t="shared" si="62"/>
        <v>220430</v>
      </c>
      <c r="R135" s="64">
        <v>120.98</v>
      </c>
      <c r="S135" s="57">
        <v>1880</v>
      </c>
      <c r="T135" s="56">
        <f t="shared" si="63"/>
        <v>227442.4</v>
      </c>
    </row>
    <row r="136" spans="1:20" x14ac:dyDescent="0.15">
      <c r="A136" s="15" t="s">
        <v>111</v>
      </c>
      <c r="B136" s="16" t="s">
        <v>71</v>
      </c>
      <c r="C136" s="65" t="s">
        <v>64</v>
      </c>
      <c r="D136" s="55">
        <f t="shared" si="57"/>
        <v>9400</v>
      </c>
      <c r="E136" s="56">
        <f t="shared" si="58"/>
        <v>1074119.2</v>
      </c>
      <c r="F136" s="64">
        <v>108.39</v>
      </c>
      <c r="G136" s="57">
        <v>1880</v>
      </c>
      <c r="H136" s="56">
        <f t="shared" si="59"/>
        <v>203773.2</v>
      </c>
      <c r="I136" s="64">
        <v>110.75</v>
      </c>
      <c r="J136" s="57">
        <v>1880</v>
      </c>
      <c r="K136" s="56">
        <f t="shared" si="60"/>
        <v>208210</v>
      </c>
      <c r="L136" s="64">
        <v>113.97</v>
      </c>
      <c r="M136" s="57">
        <v>1880</v>
      </c>
      <c r="N136" s="56">
        <f t="shared" si="61"/>
        <v>214263.6</v>
      </c>
      <c r="O136" s="64">
        <v>117.25</v>
      </c>
      <c r="P136" s="57">
        <v>1880</v>
      </c>
      <c r="Q136" s="56">
        <f t="shared" si="62"/>
        <v>220430</v>
      </c>
      <c r="R136" s="64">
        <v>120.98</v>
      </c>
      <c r="S136" s="57">
        <v>1880</v>
      </c>
      <c r="T136" s="56">
        <f t="shared" si="63"/>
        <v>227442.4</v>
      </c>
    </row>
    <row r="137" spans="1:20" x14ac:dyDescent="0.15">
      <c r="A137" s="15" t="s">
        <v>112</v>
      </c>
      <c r="B137" s="16" t="s">
        <v>71</v>
      </c>
      <c r="C137" s="65" t="s">
        <v>64</v>
      </c>
      <c r="D137" s="55">
        <f t="shared" si="57"/>
        <v>9400</v>
      </c>
      <c r="E137" s="56">
        <f t="shared" si="58"/>
        <v>1074119.2</v>
      </c>
      <c r="F137" s="64">
        <v>108.39</v>
      </c>
      <c r="G137" s="57">
        <v>1880</v>
      </c>
      <c r="H137" s="56">
        <f t="shared" si="59"/>
        <v>203773.2</v>
      </c>
      <c r="I137" s="64">
        <v>110.75</v>
      </c>
      <c r="J137" s="57">
        <v>1880</v>
      </c>
      <c r="K137" s="56">
        <f t="shared" si="60"/>
        <v>208210</v>
      </c>
      <c r="L137" s="64">
        <v>113.97</v>
      </c>
      <c r="M137" s="57">
        <v>1880</v>
      </c>
      <c r="N137" s="56">
        <f t="shared" si="61"/>
        <v>214263.6</v>
      </c>
      <c r="O137" s="64">
        <v>117.25</v>
      </c>
      <c r="P137" s="57">
        <v>1880</v>
      </c>
      <c r="Q137" s="56">
        <f t="shared" si="62"/>
        <v>220430</v>
      </c>
      <c r="R137" s="64">
        <v>120.98</v>
      </c>
      <c r="S137" s="57">
        <v>1880</v>
      </c>
      <c r="T137" s="56">
        <f t="shared" si="63"/>
        <v>227442.4</v>
      </c>
    </row>
    <row r="138" spans="1:20" x14ac:dyDescent="0.15">
      <c r="A138" s="15" t="s">
        <v>113</v>
      </c>
      <c r="B138" s="16" t="s">
        <v>71</v>
      </c>
      <c r="C138" s="65" t="s">
        <v>64</v>
      </c>
      <c r="D138" s="55">
        <f t="shared" si="57"/>
        <v>9400</v>
      </c>
      <c r="E138" s="56">
        <f t="shared" si="58"/>
        <v>1074119.2</v>
      </c>
      <c r="F138" s="64">
        <v>108.39</v>
      </c>
      <c r="G138" s="57">
        <v>1880</v>
      </c>
      <c r="H138" s="56">
        <f t="shared" si="59"/>
        <v>203773.2</v>
      </c>
      <c r="I138" s="64">
        <v>110.75</v>
      </c>
      <c r="J138" s="57">
        <v>1880</v>
      </c>
      <c r="K138" s="56">
        <f t="shared" si="60"/>
        <v>208210</v>
      </c>
      <c r="L138" s="64">
        <v>113.97</v>
      </c>
      <c r="M138" s="57">
        <v>1880</v>
      </c>
      <c r="N138" s="56">
        <f t="shared" si="61"/>
        <v>214263.6</v>
      </c>
      <c r="O138" s="64">
        <v>117.25</v>
      </c>
      <c r="P138" s="57">
        <v>1880</v>
      </c>
      <c r="Q138" s="56">
        <f t="shared" si="62"/>
        <v>220430</v>
      </c>
      <c r="R138" s="64">
        <v>120.98</v>
      </c>
      <c r="S138" s="57">
        <v>1880</v>
      </c>
      <c r="T138" s="56">
        <f t="shared" si="63"/>
        <v>227442.4</v>
      </c>
    </row>
    <row r="139" spans="1:20" x14ac:dyDescent="0.15">
      <c r="A139" s="15" t="s">
        <v>114</v>
      </c>
      <c r="B139" s="16" t="s">
        <v>72</v>
      </c>
      <c r="C139" s="65" t="s">
        <v>65</v>
      </c>
      <c r="D139" s="55">
        <f t="shared" si="57"/>
        <v>9400</v>
      </c>
      <c r="E139" s="56">
        <f t="shared" si="58"/>
        <v>916518.79999999993</v>
      </c>
      <c r="F139" s="64">
        <v>92.49</v>
      </c>
      <c r="G139" s="57">
        <v>1880</v>
      </c>
      <c r="H139" s="56">
        <f t="shared" si="59"/>
        <v>173881.19999999998</v>
      </c>
      <c r="I139" s="64">
        <v>94.5</v>
      </c>
      <c r="J139" s="57">
        <v>1880</v>
      </c>
      <c r="K139" s="56">
        <f t="shared" si="60"/>
        <v>177660</v>
      </c>
      <c r="L139" s="64">
        <v>97.26</v>
      </c>
      <c r="M139" s="57">
        <v>1880</v>
      </c>
      <c r="N139" s="56">
        <f t="shared" si="61"/>
        <v>182848.80000000002</v>
      </c>
      <c r="O139" s="64">
        <v>100.04</v>
      </c>
      <c r="P139" s="57">
        <v>1880</v>
      </c>
      <c r="Q139" s="56">
        <f t="shared" si="62"/>
        <v>188075.2</v>
      </c>
      <c r="R139" s="64">
        <v>103.22</v>
      </c>
      <c r="S139" s="57">
        <v>1880</v>
      </c>
      <c r="T139" s="56">
        <f t="shared" si="63"/>
        <v>194053.6</v>
      </c>
    </row>
    <row r="140" spans="1:20" x14ac:dyDescent="0.15">
      <c r="A140" s="15" t="s">
        <v>115</v>
      </c>
      <c r="B140" s="16" t="s">
        <v>72</v>
      </c>
      <c r="C140" s="65" t="s">
        <v>65</v>
      </c>
      <c r="D140" s="55">
        <f t="shared" si="57"/>
        <v>9400</v>
      </c>
      <c r="E140" s="56">
        <f t="shared" si="58"/>
        <v>916518.79999999993</v>
      </c>
      <c r="F140" s="64">
        <v>92.49</v>
      </c>
      <c r="G140" s="57">
        <v>1880</v>
      </c>
      <c r="H140" s="56">
        <f t="shared" si="59"/>
        <v>173881.19999999998</v>
      </c>
      <c r="I140" s="64">
        <v>94.5</v>
      </c>
      <c r="J140" s="57">
        <v>1880</v>
      </c>
      <c r="K140" s="56">
        <f t="shared" si="60"/>
        <v>177660</v>
      </c>
      <c r="L140" s="64">
        <v>97.26</v>
      </c>
      <c r="M140" s="57">
        <v>1880</v>
      </c>
      <c r="N140" s="56">
        <f t="shared" si="61"/>
        <v>182848.80000000002</v>
      </c>
      <c r="O140" s="64">
        <v>100.04</v>
      </c>
      <c r="P140" s="57">
        <v>1880</v>
      </c>
      <c r="Q140" s="56">
        <f t="shared" si="62"/>
        <v>188075.2</v>
      </c>
      <c r="R140" s="64">
        <v>103.22</v>
      </c>
      <c r="S140" s="57">
        <v>1880</v>
      </c>
      <c r="T140" s="56">
        <f t="shared" si="63"/>
        <v>194053.6</v>
      </c>
    </row>
    <row r="141" spans="1:20" x14ac:dyDescent="0.15">
      <c r="A141" s="15" t="s">
        <v>116</v>
      </c>
      <c r="B141" s="16" t="s">
        <v>72</v>
      </c>
      <c r="C141" s="65" t="s">
        <v>65</v>
      </c>
      <c r="D141" s="55">
        <f t="shared" si="57"/>
        <v>9400</v>
      </c>
      <c r="E141" s="56">
        <f t="shared" si="58"/>
        <v>916518.79999999993</v>
      </c>
      <c r="F141" s="64">
        <v>92.49</v>
      </c>
      <c r="G141" s="57">
        <v>1880</v>
      </c>
      <c r="H141" s="56">
        <f t="shared" si="59"/>
        <v>173881.19999999998</v>
      </c>
      <c r="I141" s="64">
        <v>94.5</v>
      </c>
      <c r="J141" s="57">
        <v>1880</v>
      </c>
      <c r="K141" s="56">
        <f t="shared" si="60"/>
        <v>177660</v>
      </c>
      <c r="L141" s="64">
        <v>97.26</v>
      </c>
      <c r="M141" s="57">
        <v>1880</v>
      </c>
      <c r="N141" s="56">
        <f t="shared" si="61"/>
        <v>182848.80000000002</v>
      </c>
      <c r="O141" s="64">
        <v>100.04</v>
      </c>
      <c r="P141" s="57">
        <v>1880</v>
      </c>
      <c r="Q141" s="56">
        <f t="shared" si="62"/>
        <v>188075.2</v>
      </c>
      <c r="R141" s="64">
        <v>103.22</v>
      </c>
      <c r="S141" s="57">
        <v>1880</v>
      </c>
      <c r="T141" s="56">
        <f t="shared" si="63"/>
        <v>194053.6</v>
      </c>
    </row>
    <row r="142" spans="1:20" x14ac:dyDescent="0.15">
      <c r="A142" s="15" t="s">
        <v>117</v>
      </c>
      <c r="B142" s="16" t="s">
        <v>71</v>
      </c>
      <c r="C142" s="65" t="s">
        <v>64</v>
      </c>
      <c r="D142" s="55">
        <f t="shared" si="57"/>
        <v>9400</v>
      </c>
      <c r="E142" s="56">
        <f t="shared" si="58"/>
        <v>862243.2</v>
      </c>
      <c r="F142" s="64">
        <v>87.01</v>
      </c>
      <c r="G142" s="57">
        <v>1880</v>
      </c>
      <c r="H142" s="56">
        <f t="shared" si="59"/>
        <v>163578.80000000002</v>
      </c>
      <c r="I142" s="64">
        <v>88.91</v>
      </c>
      <c r="J142" s="57">
        <v>1880</v>
      </c>
      <c r="K142" s="56">
        <f t="shared" si="60"/>
        <v>167150.79999999999</v>
      </c>
      <c r="L142" s="64">
        <v>91.5</v>
      </c>
      <c r="M142" s="57">
        <v>1880</v>
      </c>
      <c r="N142" s="56">
        <f t="shared" si="61"/>
        <v>172020</v>
      </c>
      <c r="O142" s="64">
        <v>94.11</v>
      </c>
      <c r="P142" s="57">
        <v>1880</v>
      </c>
      <c r="Q142" s="56">
        <f t="shared" si="62"/>
        <v>176926.8</v>
      </c>
      <c r="R142" s="64">
        <v>97.11</v>
      </c>
      <c r="S142" s="57">
        <v>1880</v>
      </c>
      <c r="T142" s="56">
        <f t="shared" si="63"/>
        <v>182566.8</v>
      </c>
    </row>
    <row r="143" spans="1:20" x14ac:dyDescent="0.15">
      <c r="A143" s="15" t="s">
        <v>118</v>
      </c>
      <c r="B143" s="16" t="s">
        <v>71</v>
      </c>
      <c r="C143" s="65" t="s">
        <v>64</v>
      </c>
      <c r="D143" s="55">
        <f t="shared" si="57"/>
        <v>9400</v>
      </c>
      <c r="E143" s="56">
        <f t="shared" si="58"/>
        <v>862243.2</v>
      </c>
      <c r="F143" s="64">
        <v>87.01</v>
      </c>
      <c r="G143" s="57">
        <v>1880</v>
      </c>
      <c r="H143" s="56">
        <f t="shared" si="59"/>
        <v>163578.80000000002</v>
      </c>
      <c r="I143" s="64">
        <v>88.91</v>
      </c>
      <c r="J143" s="57">
        <v>1880</v>
      </c>
      <c r="K143" s="56">
        <f t="shared" si="60"/>
        <v>167150.79999999999</v>
      </c>
      <c r="L143" s="64">
        <v>91.5</v>
      </c>
      <c r="M143" s="57">
        <v>1880</v>
      </c>
      <c r="N143" s="56">
        <f t="shared" si="61"/>
        <v>172020</v>
      </c>
      <c r="O143" s="64">
        <v>94.11</v>
      </c>
      <c r="P143" s="57">
        <v>1880</v>
      </c>
      <c r="Q143" s="56">
        <f t="shared" si="62"/>
        <v>176926.8</v>
      </c>
      <c r="R143" s="64">
        <v>97.11</v>
      </c>
      <c r="S143" s="57">
        <v>1880</v>
      </c>
      <c r="T143" s="56">
        <f t="shared" si="63"/>
        <v>182566.8</v>
      </c>
    </row>
    <row r="144" spans="1:20" x14ac:dyDescent="0.15">
      <c r="A144" s="15" t="s">
        <v>119</v>
      </c>
      <c r="B144" s="16" t="s">
        <v>71</v>
      </c>
      <c r="C144" s="65" t="s">
        <v>64</v>
      </c>
      <c r="D144" s="55">
        <f t="shared" si="57"/>
        <v>9400</v>
      </c>
      <c r="E144" s="56">
        <f t="shared" si="58"/>
        <v>862243.2</v>
      </c>
      <c r="F144" s="64">
        <v>87.01</v>
      </c>
      <c r="G144" s="57">
        <v>1880</v>
      </c>
      <c r="H144" s="56">
        <f t="shared" si="59"/>
        <v>163578.80000000002</v>
      </c>
      <c r="I144" s="64">
        <v>88.91</v>
      </c>
      <c r="J144" s="57">
        <v>1880</v>
      </c>
      <c r="K144" s="56">
        <f t="shared" si="60"/>
        <v>167150.79999999999</v>
      </c>
      <c r="L144" s="64">
        <v>91.5</v>
      </c>
      <c r="M144" s="57">
        <v>1880</v>
      </c>
      <c r="N144" s="56">
        <f t="shared" si="61"/>
        <v>172020</v>
      </c>
      <c r="O144" s="64">
        <v>94.11</v>
      </c>
      <c r="P144" s="57">
        <v>1880</v>
      </c>
      <c r="Q144" s="56">
        <f t="shared" si="62"/>
        <v>176926.8</v>
      </c>
      <c r="R144" s="64">
        <v>97.11</v>
      </c>
      <c r="S144" s="57">
        <v>1880</v>
      </c>
      <c r="T144" s="56">
        <f t="shared" si="63"/>
        <v>182566.8</v>
      </c>
    </row>
    <row r="145" spans="1:20" x14ac:dyDescent="0.15">
      <c r="A145" s="15"/>
      <c r="B145" s="16"/>
      <c r="C145" s="17"/>
      <c r="D145" s="55">
        <f t="shared" si="57"/>
        <v>103400</v>
      </c>
      <c r="E145" s="56">
        <f t="shared" si="58"/>
        <v>10706882</v>
      </c>
      <c r="F145" s="18"/>
      <c r="G145" s="57">
        <f>SUM(G134:G144)</f>
        <v>20680</v>
      </c>
      <c r="H145" s="56">
        <f>SUM(H134:H144)</f>
        <v>2031246</v>
      </c>
      <c r="I145" s="18"/>
      <c r="J145" s="57">
        <f>SUM(J134:J144)</f>
        <v>20680</v>
      </c>
      <c r="K145" s="56">
        <f>SUM(K134:K144)</f>
        <v>2075482.4000000001</v>
      </c>
      <c r="L145" s="18"/>
      <c r="M145" s="57">
        <f>SUM(M134:M144)</f>
        <v>20680</v>
      </c>
      <c r="N145" s="56">
        <f>SUM(N134:N144)</f>
        <v>2135924.4000000004</v>
      </c>
      <c r="O145" s="18"/>
      <c r="P145" s="57">
        <f>SUM(P134:P144)</f>
        <v>20680</v>
      </c>
      <c r="Q145" s="56">
        <f>SUM(Q134:Q144)</f>
        <v>2197156</v>
      </c>
      <c r="R145" s="18"/>
      <c r="S145" s="57">
        <f>SUM(S134:S144)</f>
        <v>20680</v>
      </c>
      <c r="T145" s="56">
        <f>SUM(T134:T144)</f>
        <v>2267073.2000000002</v>
      </c>
    </row>
    <row r="146" spans="1:20" x14ac:dyDescent="0.15">
      <c r="A146" s="20"/>
      <c r="B146" s="21"/>
      <c r="C146" s="17"/>
      <c r="D146" s="18"/>
      <c r="E146" s="17"/>
      <c r="F146" s="18"/>
      <c r="G146" s="19"/>
      <c r="H146" s="17"/>
      <c r="I146" s="18"/>
      <c r="J146" s="19"/>
      <c r="K146" s="17"/>
      <c r="L146" s="18"/>
      <c r="M146" s="19"/>
      <c r="N146" s="17"/>
      <c r="O146" s="18"/>
      <c r="P146" s="19"/>
      <c r="Q146" s="17"/>
      <c r="R146" s="18"/>
      <c r="S146" s="19"/>
      <c r="T146" s="17"/>
    </row>
    <row r="147" spans="1:20" x14ac:dyDescent="0.15">
      <c r="A147" s="20" t="s">
        <v>23</v>
      </c>
      <c r="B147" s="21"/>
      <c r="C147" s="17"/>
      <c r="D147" s="55">
        <f t="shared" ref="D147" si="64">G147+J147+M147+P147+S147</f>
        <v>291400</v>
      </c>
      <c r="E147" s="56">
        <f t="shared" ref="E147:E155" si="65">H147+K147+N147+Q147+T147</f>
        <v>31614756.799999997</v>
      </c>
      <c r="F147" s="18"/>
      <c r="G147" s="57">
        <f>G121+G125+G132+G145</f>
        <v>58280</v>
      </c>
      <c r="H147" s="56">
        <f>H121+H125+H132+H145</f>
        <v>5980919.2000000002</v>
      </c>
      <c r="I147" s="18"/>
      <c r="J147" s="57">
        <f>J121+J125+J132+J145</f>
        <v>58280</v>
      </c>
      <c r="K147" s="56">
        <f>K121+K125+K132+K145</f>
        <v>6132597.6000000006</v>
      </c>
      <c r="L147" s="18"/>
      <c r="M147" s="57">
        <f>M121+M125+M132+M145</f>
        <v>58280</v>
      </c>
      <c r="N147" s="56">
        <f>N121+N125+N132+N145</f>
        <v>6314393.5999999996</v>
      </c>
      <c r="O147" s="18"/>
      <c r="P147" s="57">
        <f>P121+P125+P132+P145</f>
        <v>58280</v>
      </c>
      <c r="Q147" s="56">
        <f>Q121+Q125+Q132+Q145</f>
        <v>6485605.1999999993</v>
      </c>
      <c r="R147" s="18"/>
      <c r="S147" s="57">
        <f>S121+S125+S132+S145</f>
        <v>58280</v>
      </c>
      <c r="T147" s="56">
        <f>T121+T125+T132+T145</f>
        <v>6701241.2000000011</v>
      </c>
    </row>
    <row r="148" spans="1:20" x14ac:dyDescent="0.15">
      <c r="A148" s="15" t="s">
        <v>24</v>
      </c>
      <c r="B148" s="16"/>
      <c r="C148" s="17"/>
      <c r="D148" s="18"/>
      <c r="E148" s="17"/>
      <c r="F148" s="18"/>
      <c r="G148" s="19"/>
      <c r="H148" s="17"/>
      <c r="I148" s="18"/>
      <c r="J148" s="19"/>
      <c r="K148" s="17"/>
      <c r="L148" s="18"/>
      <c r="M148" s="19"/>
      <c r="N148" s="17"/>
      <c r="O148" s="18"/>
      <c r="P148" s="19"/>
      <c r="Q148" s="17"/>
      <c r="R148" s="18"/>
      <c r="S148" s="19"/>
      <c r="T148" s="17"/>
    </row>
    <row r="149" spans="1:20" x14ac:dyDescent="0.15">
      <c r="A149" s="20" t="s">
        <v>25</v>
      </c>
      <c r="B149" s="21"/>
      <c r="C149" s="17"/>
      <c r="D149" s="18"/>
      <c r="E149" s="56">
        <f t="shared" si="65"/>
        <v>2102381.3272000002</v>
      </c>
      <c r="F149" s="59">
        <v>6.6500000000000004E-2</v>
      </c>
      <c r="G149" s="60">
        <f>H147</f>
        <v>5980919.2000000002</v>
      </c>
      <c r="H149" s="56">
        <f>F149*G149</f>
        <v>397731.12680000003</v>
      </c>
      <c r="I149" s="59">
        <v>6.6500000000000004E-2</v>
      </c>
      <c r="J149" s="60">
        <f>K147</f>
        <v>6132597.6000000006</v>
      </c>
      <c r="K149" s="56">
        <f>I149*J149</f>
        <v>407817.74040000007</v>
      </c>
      <c r="L149" s="59">
        <v>6.6500000000000004E-2</v>
      </c>
      <c r="M149" s="60">
        <f>N147</f>
        <v>6314393.5999999996</v>
      </c>
      <c r="N149" s="56">
        <f>L149*M149</f>
        <v>419907.17440000002</v>
      </c>
      <c r="O149" s="59">
        <v>6.6500000000000004E-2</v>
      </c>
      <c r="P149" s="60">
        <f>Q147</f>
        <v>6485605.1999999993</v>
      </c>
      <c r="Q149" s="56">
        <f>O149*P149</f>
        <v>431292.74579999998</v>
      </c>
      <c r="R149" s="59">
        <v>6.6500000000000004E-2</v>
      </c>
      <c r="S149" s="60">
        <f>T147</f>
        <v>6701241.2000000011</v>
      </c>
      <c r="T149" s="56">
        <f>R149*S149</f>
        <v>445632.53980000009</v>
      </c>
    </row>
    <row r="150" spans="1:20" x14ac:dyDescent="0.15">
      <c r="A150" s="20" t="s">
        <v>16</v>
      </c>
      <c r="B150" s="21"/>
      <c r="C150" s="17"/>
      <c r="D150" s="18"/>
      <c r="E150" s="56">
        <f t="shared" si="65"/>
        <v>0</v>
      </c>
      <c r="F150" s="59"/>
      <c r="G150" s="19"/>
      <c r="H150" s="61">
        <v>0</v>
      </c>
      <c r="I150" s="59"/>
      <c r="J150" s="19"/>
      <c r="K150" s="61">
        <v>0</v>
      </c>
      <c r="L150" s="59"/>
      <c r="M150" s="19"/>
      <c r="N150" s="61">
        <v>0</v>
      </c>
      <c r="O150" s="59"/>
      <c r="P150" s="19"/>
      <c r="Q150" s="61">
        <v>0</v>
      </c>
      <c r="R150" s="59"/>
      <c r="S150" s="19"/>
      <c r="T150" s="61">
        <v>0</v>
      </c>
    </row>
    <row r="151" spans="1:20" x14ac:dyDescent="0.15">
      <c r="A151" s="20" t="s">
        <v>26</v>
      </c>
      <c r="B151" s="21"/>
      <c r="C151" s="17"/>
      <c r="D151" s="18"/>
      <c r="E151" s="56">
        <f t="shared" si="65"/>
        <v>0</v>
      </c>
      <c r="F151" s="18"/>
      <c r="G151" s="19"/>
      <c r="H151" s="61">
        <v>0</v>
      </c>
      <c r="I151" s="18"/>
      <c r="J151" s="19"/>
      <c r="K151" s="61">
        <v>0</v>
      </c>
      <c r="L151" s="18"/>
      <c r="M151" s="19"/>
      <c r="N151" s="61">
        <v>0</v>
      </c>
      <c r="O151" s="18"/>
      <c r="P151" s="19"/>
      <c r="Q151" s="61">
        <v>0</v>
      </c>
      <c r="R151" s="18"/>
      <c r="S151" s="19"/>
      <c r="T151" s="61">
        <v>0</v>
      </c>
    </row>
    <row r="152" spans="1:20" x14ac:dyDescent="0.15">
      <c r="A152" s="20" t="s">
        <v>27</v>
      </c>
      <c r="B152" s="21"/>
      <c r="C152" s="17"/>
      <c r="D152" s="18"/>
      <c r="E152" s="56">
        <f t="shared" si="65"/>
        <v>2102381.3272000002</v>
      </c>
      <c r="F152" s="18"/>
      <c r="G152" s="19"/>
      <c r="H152" s="56">
        <f>H149+H150+H151</f>
        <v>397731.12680000003</v>
      </c>
      <c r="I152" s="18"/>
      <c r="J152" s="19"/>
      <c r="K152" s="56">
        <f>K149+K150+K151</f>
        <v>407817.74040000007</v>
      </c>
      <c r="L152" s="18"/>
      <c r="M152" s="19"/>
      <c r="N152" s="56">
        <f>N149+N150+N151</f>
        <v>419907.17440000002</v>
      </c>
      <c r="O152" s="18"/>
      <c r="P152" s="19"/>
      <c r="Q152" s="56">
        <f>Q149+Q150+Q151</f>
        <v>431292.74579999998</v>
      </c>
      <c r="R152" s="18"/>
      <c r="S152" s="19"/>
      <c r="T152" s="56">
        <f>T149+T150+T151</f>
        <v>445632.53980000009</v>
      </c>
    </row>
    <row r="153" spans="1:20" x14ac:dyDescent="0.15">
      <c r="A153" s="15" t="s">
        <v>28</v>
      </c>
      <c r="B153" s="16"/>
      <c r="C153" s="17"/>
      <c r="D153" s="18"/>
      <c r="E153" s="56">
        <f t="shared" si="65"/>
        <v>33717138.129999995</v>
      </c>
      <c r="F153" s="18"/>
      <c r="G153" s="19"/>
      <c r="H153" s="56">
        <f>ROUND(H147+H152,2)</f>
        <v>6378650.3300000001</v>
      </c>
      <c r="I153" s="18"/>
      <c r="J153" s="19"/>
      <c r="K153" s="56">
        <f>ROUND(K147+K152,2)</f>
        <v>6540415.3399999999</v>
      </c>
      <c r="L153" s="18"/>
      <c r="M153" s="19"/>
      <c r="N153" s="56">
        <f>ROUND(N147+N152,2)</f>
        <v>6734300.7699999996</v>
      </c>
      <c r="O153" s="18"/>
      <c r="P153" s="19"/>
      <c r="Q153" s="56">
        <f>ROUND(Q147+Q152,2)</f>
        <v>6916897.9500000002</v>
      </c>
      <c r="R153" s="18"/>
      <c r="S153" s="19"/>
      <c r="T153" s="56">
        <f>ROUND(T147+T152,2)</f>
        <v>7146873.7400000002</v>
      </c>
    </row>
    <row r="154" spans="1:20" x14ac:dyDescent="0.15">
      <c r="A154" s="15"/>
      <c r="B154" s="16"/>
      <c r="C154" s="17"/>
      <c r="D154" s="18"/>
      <c r="E154" s="17"/>
      <c r="F154" s="18"/>
      <c r="G154" s="19"/>
      <c r="H154" s="17"/>
      <c r="I154" s="18"/>
      <c r="J154" s="19"/>
      <c r="K154" s="17"/>
      <c r="L154" s="18"/>
      <c r="M154" s="19"/>
      <c r="N154" s="17"/>
      <c r="O154" s="18"/>
      <c r="P154" s="19"/>
      <c r="Q154" s="17"/>
      <c r="R154" s="18"/>
      <c r="S154" s="19"/>
      <c r="T154" s="17"/>
    </row>
    <row r="155" spans="1:20" x14ac:dyDescent="0.15">
      <c r="A155" s="25" t="s">
        <v>29</v>
      </c>
      <c r="B155" s="26"/>
      <c r="C155" s="17"/>
      <c r="D155" s="18"/>
      <c r="E155" s="56">
        <f t="shared" si="65"/>
        <v>103397204.25</v>
      </c>
      <c r="F155" s="18"/>
      <c r="G155" s="19"/>
      <c r="H155" s="56">
        <f>ROUND(H103+H153,2)</f>
        <v>19409746.030000001</v>
      </c>
      <c r="I155" s="18"/>
      <c r="J155" s="19"/>
      <c r="K155" s="56">
        <f>ROUND(K103+K153,2)</f>
        <v>19595512.670000002</v>
      </c>
      <c r="L155" s="18"/>
      <c r="M155" s="19"/>
      <c r="N155" s="56">
        <f>ROUND(N103+N153,2)</f>
        <v>20711221.02</v>
      </c>
      <c r="O155" s="18"/>
      <c r="P155" s="19"/>
      <c r="Q155" s="56">
        <f>ROUND(Q103+Q153,2)</f>
        <v>21261411.199999999</v>
      </c>
      <c r="R155" s="18"/>
      <c r="S155" s="19"/>
      <c r="T155" s="56">
        <f>ROUND(T103+T153,2)</f>
        <v>22419313.329999998</v>
      </c>
    </row>
    <row r="156" spans="1:20" x14ac:dyDescent="0.15">
      <c r="A156" s="18"/>
      <c r="B156" s="22"/>
      <c r="C156" s="17"/>
      <c r="D156" s="18"/>
      <c r="E156" s="17"/>
      <c r="F156" s="18"/>
      <c r="G156" s="19"/>
      <c r="H156" s="17"/>
      <c r="I156" s="18"/>
      <c r="J156" s="19"/>
      <c r="K156" s="17"/>
      <c r="L156" s="18"/>
      <c r="M156" s="19"/>
      <c r="N156" s="17"/>
      <c r="O156" s="18"/>
      <c r="P156" s="19"/>
      <c r="Q156" s="17"/>
      <c r="R156" s="18"/>
      <c r="S156" s="19"/>
      <c r="T156" s="17"/>
    </row>
    <row r="157" spans="1:20" x14ac:dyDescent="0.15">
      <c r="A157" s="23" t="s">
        <v>30</v>
      </c>
      <c r="B157" s="24"/>
      <c r="C157" s="17"/>
      <c r="D157" s="18"/>
      <c r="E157" s="17"/>
      <c r="F157" s="18"/>
      <c r="G157" s="19"/>
      <c r="H157" s="17"/>
      <c r="I157" s="18"/>
      <c r="J157" s="19"/>
      <c r="K157" s="17"/>
      <c r="L157" s="18"/>
      <c r="M157" s="19"/>
      <c r="N157" s="17"/>
      <c r="O157" s="18"/>
      <c r="P157" s="19"/>
      <c r="Q157" s="17"/>
      <c r="R157" s="18"/>
      <c r="S157" s="19"/>
      <c r="T157" s="17"/>
    </row>
    <row r="158" spans="1:20" x14ac:dyDescent="0.15">
      <c r="A158" s="15" t="s">
        <v>31</v>
      </c>
      <c r="B158" s="16"/>
      <c r="C158" s="17"/>
      <c r="D158" s="18"/>
      <c r="E158" s="56">
        <f t="shared" ref="E158:E160" si="66">H158+K158+N158+Q158+T158</f>
        <v>5574405.2896000007</v>
      </c>
      <c r="F158" s="59">
        <v>0.08</v>
      </c>
      <c r="G158" s="60">
        <f>H103</f>
        <v>13031095.699999999</v>
      </c>
      <c r="H158" s="56">
        <f>F158*G158</f>
        <v>1042487.656</v>
      </c>
      <c r="I158" s="59">
        <v>0.08</v>
      </c>
      <c r="J158" s="60">
        <f>K103</f>
        <v>13055097.33</v>
      </c>
      <c r="K158" s="56">
        <f>I158*J158</f>
        <v>1044407.7864</v>
      </c>
      <c r="L158" s="59">
        <v>0.08</v>
      </c>
      <c r="M158" s="60">
        <f>N103</f>
        <v>13976920.25</v>
      </c>
      <c r="N158" s="56">
        <f>L158*M158</f>
        <v>1118153.6200000001</v>
      </c>
      <c r="O158" s="59">
        <v>0.08</v>
      </c>
      <c r="P158" s="60">
        <f>Q103</f>
        <v>14344513.25</v>
      </c>
      <c r="Q158" s="56">
        <f>O158*P158</f>
        <v>1147561.06</v>
      </c>
      <c r="R158" s="59">
        <v>0.08</v>
      </c>
      <c r="S158" s="60">
        <f>T103</f>
        <v>15272439.59</v>
      </c>
      <c r="T158" s="56">
        <f>R158*S158</f>
        <v>1221795.1672</v>
      </c>
    </row>
    <row r="159" spans="1:20" x14ac:dyDescent="0.15">
      <c r="A159" s="15" t="s">
        <v>32</v>
      </c>
      <c r="B159" s="16"/>
      <c r="C159" s="17"/>
      <c r="D159" s="18"/>
      <c r="E159" s="56">
        <f t="shared" si="66"/>
        <v>424835.94043800002</v>
      </c>
      <c r="F159" s="59">
        <v>1.26E-2</v>
      </c>
      <c r="G159" s="60">
        <f>H153</f>
        <v>6378650.3300000001</v>
      </c>
      <c r="H159" s="56">
        <f>F159*G159</f>
        <v>80370.994158000001</v>
      </c>
      <c r="I159" s="59">
        <v>1.26E-2</v>
      </c>
      <c r="J159" s="60">
        <f>K153</f>
        <v>6540415.3399999999</v>
      </c>
      <c r="K159" s="56">
        <f>I159*J159</f>
        <v>82409.233284000002</v>
      </c>
      <c r="L159" s="59">
        <v>1.26E-2</v>
      </c>
      <c r="M159" s="60">
        <f>N153</f>
        <v>6734300.7699999996</v>
      </c>
      <c r="N159" s="56">
        <f>L159*M159</f>
        <v>84852.189701999989</v>
      </c>
      <c r="O159" s="59">
        <v>1.26E-2</v>
      </c>
      <c r="P159" s="60">
        <f>Q153</f>
        <v>6916897.9500000002</v>
      </c>
      <c r="Q159" s="56">
        <f>O159*P159</f>
        <v>87152.914170000004</v>
      </c>
      <c r="R159" s="59">
        <v>1.26E-2</v>
      </c>
      <c r="S159" s="60">
        <f>T153</f>
        <v>7146873.7400000002</v>
      </c>
      <c r="T159" s="56">
        <f>R159*S159</f>
        <v>90050.60912400001</v>
      </c>
    </row>
    <row r="160" spans="1:20" x14ac:dyDescent="0.15">
      <c r="A160" s="15" t="s">
        <v>33</v>
      </c>
      <c r="B160" s="16"/>
      <c r="C160" s="17"/>
      <c r="D160" s="18"/>
      <c r="E160" s="56">
        <f t="shared" si="66"/>
        <v>5999241.2300000004</v>
      </c>
      <c r="F160" s="18"/>
      <c r="G160" s="19"/>
      <c r="H160" s="56">
        <f>ROUND(H158+H159,2)</f>
        <v>1122858.6499999999</v>
      </c>
      <c r="I160" s="18"/>
      <c r="J160" s="19"/>
      <c r="K160" s="56">
        <f>ROUND(K158+K159,2)</f>
        <v>1126817.02</v>
      </c>
      <c r="L160" s="18"/>
      <c r="M160" s="19"/>
      <c r="N160" s="56">
        <f>ROUND(N158+N159,2)</f>
        <v>1203005.81</v>
      </c>
      <c r="O160" s="18"/>
      <c r="P160" s="19"/>
      <c r="Q160" s="56">
        <f>ROUND(Q158+Q159,2)</f>
        <v>1234713.97</v>
      </c>
      <c r="R160" s="18"/>
      <c r="S160" s="19"/>
      <c r="T160" s="56">
        <f>ROUND(T158+T159,2)</f>
        <v>1311845.78</v>
      </c>
    </row>
    <row r="161" spans="1:20" x14ac:dyDescent="0.15">
      <c r="A161" s="15"/>
      <c r="B161" s="16"/>
      <c r="C161" s="17"/>
      <c r="D161" s="18"/>
      <c r="E161" s="17"/>
      <c r="F161" s="18"/>
      <c r="G161" s="19"/>
      <c r="H161" s="17"/>
      <c r="I161" s="18"/>
      <c r="J161" s="19"/>
      <c r="K161" s="17"/>
      <c r="L161" s="18"/>
      <c r="M161" s="19"/>
      <c r="N161" s="17"/>
      <c r="O161" s="18"/>
      <c r="P161" s="19"/>
      <c r="Q161" s="17"/>
      <c r="R161" s="18"/>
      <c r="S161" s="19"/>
      <c r="T161" s="17"/>
    </row>
    <row r="162" spans="1:20" x14ac:dyDescent="0.15">
      <c r="A162" s="25" t="s">
        <v>34</v>
      </c>
      <c r="B162" s="26"/>
      <c r="C162" s="17"/>
      <c r="D162" s="18"/>
      <c r="E162" s="56">
        <f t="shared" ref="E162" si="67">H162+K162+N162+Q162+T162</f>
        <v>109396445.48</v>
      </c>
      <c r="F162" s="18"/>
      <c r="G162" s="19"/>
      <c r="H162" s="56">
        <f>H155+H160</f>
        <v>20532604.68</v>
      </c>
      <c r="I162" s="18"/>
      <c r="J162" s="19"/>
      <c r="K162" s="56">
        <f>K155+K160</f>
        <v>20722329.690000001</v>
      </c>
      <c r="L162" s="18"/>
      <c r="M162" s="19"/>
      <c r="N162" s="56">
        <f>N155+N160</f>
        <v>21914226.829999998</v>
      </c>
      <c r="O162" s="18"/>
      <c r="P162" s="19"/>
      <c r="Q162" s="56">
        <f>Q155+Q160</f>
        <v>22496125.169999998</v>
      </c>
      <c r="R162" s="18"/>
      <c r="S162" s="19"/>
      <c r="T162" s="56">
        <f>T155+T160</f>
        <v>23731159.109999999</v>
      </c>
    </row>
    <row r="163" spans="1:20" x14ac:dyDescent="0.15">
      <c r="A163" s="15"/>
      <c r="B163" s="16"/>
      <c r="C163" s="17"/>
      <c r="D163" s="18"/>
      <c r="E163" s="17"/>
      <c r="F163" s="18"/>
      <c r="G163" s="19"/>
      <c r="H163" s="17"/>
      <c r="I163" s="18"/>
      <c r="J163" s="19"/>
      <c r="K163" s="17"/>
      <c r="L163" s="18"/>
      <c r="M163" s="19"/>
      <c r="N163" s="17"/>
      <c r="O163" s="18"/>
      <c r="P163" s="19"/>
      <c r="Q163" s="17"/>
      <c r="R163" s="18"/>
      <c r="S163" s="19"/>
      <c r="T163" s="17"/>
    </row>
    <row r="164" spans="1:20" x14ac:dyDescent="0.15">
      <c r="A164" s="25" t="s">
        <v>35</v>
      </c>
      <c r="B164" s="26"/>
      <c r="C164" s="17"/>
      <c r="D164" s="18"/>
      <c r="E164" s="17"/>
      <c r="F164" s="18"/>
      <c r="G164" s="19"/>
      <c r="H164" s="17"/>
      <c r="I164" s="18"/>
      <c r="J164" s="19"/>
      <c r="K164" s="17"/>
      <c r="L164" s="18"/>
      <c r="M164" s="19"/>
      <c r="N164" s="17"/>
      <c r="O164" s="18"/>
      <c r="P164" s="19"/>
      <c r="Q164" s="17"/>
      <c r="R164" s="18"/>
      <c r="S164" s="19"/>
      <c r="T164" s="17"/>
    </row>
    <row r="165" spans="1:20" x14ac:dyDescent="0.15">
      <c r="A165" s="15" t="s">
        <v>36</v>
      </c>
      <c r="B165" s="16"/>
      <c r="C165" s="17"/>
      <c r="D165" s="18"/>
      <c r="E165" s="56">
        <f t="shared" ref="E165:E167" si="68">H165+K165+N165+Q165+T165</f>
        <v>232700.41000000003</v>
      </c>
      <c r="F165" s="18"/>
      <c r="G165" s="19"/>
      <c r="H165" s="74">
        <v>54844.05</v>
      </c>
      <c r="I165" s="18"/>
      <c r="J165" s="19"/>
      <c r="K165" s="74">
        <v>42772.84</v>
      </c>
      <c r="L165" s="18"/>
      <c r="M165" s="19"/>
      <c r="N165" s="74">
        <v>43880.99</v>
      </c>
      <c r="O165" s="18"/>
      <c r="P165" s="19"/>
      <c r="Q165" s="74">
        <v>45017.98</v>
      </c>
      <c r="R165" s="18"/>
      <c r="S165" s="19"/>
      <c r="T165" s="74">
        <v>46184.55</v>
      </c>
    </row>
    <row r="166" spans="1:20" x14ac:dyDescent="0.15">
      <c r="A166" s="15" t="s">
        <v>37</v>
      </c>
      <c r="B166" s="16"/>
      <c r="C166" s="17"/>
      <c r="D166" s="18"/>
      <c r="E166" s="56">
        <f t="shared" si="68"/>
        <v>51473.330692000003</v>
      </c>
      <c r="F166" s="59">
        <v>0.22120000000000001</v>
      </c>
      <c r="G166" s="60">
        <f>H165</f>
        <v>54844.05</v>
      </c>
      <c r="H166" s="56">
        <f>F166*G166</f>
        <v>12131.503860000001</v>
      </c>
      <c r="I166" s="59">
        <v>0.22120000000000001</v>
      </c>
      <c r="J166" s="60">
        <f>K165</f>
        <v>42772.84</v>
      </c>
      <c r="K166" s="56">
        <f>I166*J166</f>
        <v>9461.3522080000002</v>
      </c>
      <c r="L166" s="59">
        <v>0.22120000000000001</v>
      </c>
      <c r="M166" s="60">
        <f>N165</f>
        <v>43880.99</v>
      </c>
      <c r="N166" s="56">
        <f>L166*M166</f>
        <v>9706.4749879999999</v>
      </c>
      <c r="O166" s="59">
        <v>0.22120000000000001</v>
      </c>
      <c r="P166" s="60">
        <f>Q165</f>
        <v>45017.98</v>
      </c>
      <c r="Q166" s="56">
        <f>O166*P166</f>
        <v>9957.9771760000003</v>
      </c>
      <c r="R166" s="59">
        <v>0.22120000000000001</v>
      </c>
      <c r="S166" s="60">
        <f>T165</f>
        <v>46184.55</v>
      </c>
      <c r="T166" s="56">
        <f>R166*S166</f>
        <v>10216.02246</v>
      </c>
    </row>
    <row r="167" spans="1:20" x14ac:dyDescent="0.15">
      <c r="A167" s="15" t="s">
        <v>38</v>
      </c>
      <c r="B167" s="16"/>
      <c r="C167" s="17"/>
      <c r="D167" s="18"/>
      <c r="E167" s="56">
        <f t="shared" si="68"/>
        <v>284173.73</v>
      </c>
      <c r="F167" s="18"/>
      <c r="G167" s="19"/>
      <c r="H167" s="56">
        <f>ROUND(H165+H166,2)</f>
        <v>66975.55</v>
      </c>
      <c r="I167" s="18"/>
      <c r="J167" s="19"/>
      <c r="K167" s="56">
        <f>ROUND(K165+K166,2)</f>
        <v>52234.19</v>
      </c>
      <c r="L167" s="18"/>
      <c r="M167" s="19"/>
      <c r="N167" s="56">
        <f>ROUND(N165+N166,2)</f>
        <v>53587.46</v>
      </c>
      <c r="O167" s="18"/>
      <c r="P167" s="19"/>
      <c r="Q167" s="56">
        <f>ROUND(Q165+Q166,2)</f>
        <v>54975.96</v>
      </c>
      <c r="R167" s="18"/>
      <c r="S167" s="19"/>
      <c r="T167" s="56">
        <f>ROUND(T165+T166,2)</f>
        <v>56400.57</v>
      </c>
    </row>
    <row r="168" spans="1:20" x14ac:dyDescent="0.15">
      <c r="A168" s="15"/>
      <c r="B168" s="16"/>
      <c r="C168" s="17"/>
      <c r="D168" s="18"/>
      <c r="E168" s="17"/>
      <c r="F168" s="18"/>
      <c r="G168" s="19"/>
      <c r="H168" s="17"/>
      <c r="I168" s="18"/>
      <c r="J168" s="19"/>
      <c r="K168" s="17"/>
      <c r="L168" s="18"/>
      <c r="M168" s="19"/>
      <c r="N168" s="17"/>
      <c r="O168" s="18"/>
      <c r="P168" s="19"/>
      <c r="Q168" s="17"/>
      <c r="R168" s="18"/>
      <c r="S168" s="19"/>
      <c r="T168" s="17"/>
    </row>
    <row r="169" spans="1:20" ht="13" thickBot="1" x14ac:dyDescent="0.2">
      <c r="A169" s="27" t="s">
        <v>39</v>
      </c>
      <c r="B169" s="28"/>
      <c r="C169" s="29"/>
      <c r="D169" s="66">
        <f t="shared" ref="D169" si="69">G169+J169+M169+P169+S169</f>
        <v>1011440</v>
      </c>
      <c r="E169" s="67">
        <f t="shared" ref="E169" si="70">H169+K169+N169+Q169+T169</f>
        <v>109680619.21000001</v>
      </c>
      <c r="F169" s="30"/>
      <c r="G169" s="68">
        <f>G95+G147</f>
        <v>201160</v>
      </c>
      <c r="H169" s="69">
        <f>H162+H167</f>
        <v>20599580.23</v>
      </c>
      <c r="I169" s="30"/>
      <c r="J169" s="68">
        <f>J95+J147</f>
        <v>197400</v>
      </c>
      <c r="K169" s="69">
        <f>K162+K167</f>
        <v>20774563.880000003</v>
      </c>
      <c r="L169" s="30"/>
      <c r="M169" s="68">
        <f>M95+M147</f>
        <v>203040</v>
      </c>
      <c r="N169" s="69">
        <f>N162+N167</f>
        <v>21967814.289999999</v>
      </c>
      <c r="O169" s="30"/>
      <c r="P169" s="68">
        <f>P95+P147</f>
        <v>203040</v>
      </c>
      <c r="Q169" s="69">
        <f>Q162+Q167</f>
        <v>22551101.129999999</v>
      </c>
      <c r="R169" s="30"/>
      <c r="S169" s="68">
        <f>S95+S147</f>
        <v>206800</v>
      </c>
      <c r="T169" s="69">
        <f>T162+T167</f>
        <v>23787559.68</v>
      </c>
    </row>
    <row r="170" spans="1:20" x14ac:dyDescent="0.15">
      <c r="A170" s="31"/>
      <c r="B170" s="31"/>
    </row>
    <row r="171" spans="1:20" x14ac:dyDescent="0.15">
      <c r="A171" s="19" t="s">
        <v>53</v>
      </c>
      <c r="B171" s="16"/>
      <c r="C171" s="17"/>
      <c r="D171" s="55">
        <f t="shared" ref="D171" si="71">G171+J171+M171+P171+S171</f>
        <v>101144</v>
      </c>
      <c r="E171" s="61">
        <f t="shared" ref="E171:E173" si="72">H171+K171+N171+Q171+T171</f>
        <v>10339720.420000002</v>
      </c>
      <c r="F171" s="70">
        <f>H155/G169</f>
        <v>96.489093408232264</v>
      </c>
      <c r="G171" s="57">
        <v>20116</v>
      </c>
      <c r="H171" s="56">
        <f>ROUND(F171*G171,2)</f>
        <v>1940974.6</v>
      </c>
      <c r="I171" s="70">
        <f>K155/J169</f>
        <v>99.268047973657559</v>
      </c>
      <c r="J171" s="57">
        <v>19740</v>
      </c>
      <c r="K171" s="56">
        <f>ROUND(I171*J171,2)</f>
        <v>1959551.27</v>
      </c>
      <c r="L171" s="70">
        <f>N155/M169</f>
        <v>102.00561968085105</v>
      </c>
      <c r="M171" s="57">
        <v>20304</v>
      </c>
      <c r="N171" s="56">
        <f>ROUND(L171*M171,2)</f>
        <v>2071122.1</v>
      </c>
      <c r="O171" s="70">
        <f>Q155/P169</f>
        <v>104.71538219070133</v>
      </c>
      <c r="P171" s="57">
        <v>20304</v>
      </c>
      <c r="Q171" s="56">
        <f>ROUND(O171*P171,2)</f>
        <v>2126141.12</v>
      </c>
      <c r="R171" s="70">
        <f>T155/S169</f>
        <v>108.41060604448742</v>
      </c>
      <c r="S171" s="57">
        <v>20680</v>
      </c>
      <c r="T171" s="56">
        <f>ROUND(R171*S171,2)</f>
        <v>2241931.33</v>
      </c>
    </row>
    <row r="172" spans="1:20" x14ac:dyDescent="0.15">
      <c r="A172" s="19" t="s">
        <v>54</v>
      </c>
      <c r="B172" s="16"/>
      <c r="C172" s="17"/>
      <c r="D172" s="18"/>
      <c r="E172" s="61">
        <f t="shared" si="72"/>
        <v>478729.04</v>
      </c>
      <c r="F172" s="71">
        <f>AVERAGE(F158:F159)</f>
        <v>4.6300000000000001E-2</v>
      </c>
      <c r="G172" s="60">
        <f>H171</f>
        <v>1940974.6</v>
      </c>
      <c r="H172" s="61">
        <f>ROUND(F172*G172,2)</f>
        <v>89867.12</v>
      </c>
      <c r="I172" s="71">
        <f>AVERAGE(I158:I159)</f>
        <v>4.6300000000000001E-2</v>
      </c>
      <c r="J172" s="60">
        <f>K171</f>
        <v>1959551.27</v>
      </c>
      <c r="K172" s="61">
        <f>ROUND(I172*J172,2)</f>
        <v>90727.22</v>
      </c>
      <c r="L172" s="71">
        <f>AVERAGE(L158:L159)</f>
        <v>4.6300000000000001E-2</v>
      </c>
      <c r="M172" s="60">
        <f>N171</f>
        <v>2071122.1</v>
      </c>
      <c r="N172" s="61">
        <f>ROUND(L172*M172,2)</f>
        <v>95892.95</v>
      </c>
      <c r="O172" s="71">
        <f>AVERAGE(O158:O159)</f>
        <v>4.6300000000000001E-2</v>
      </c>
      <c r="P172" s="60">
        <f>Q171</f>
        <v>2126141.12</v>
      </c>
      <c r="Q172" s="61">
        <f>ROUND(O172*P172,2)</f>
        <v>98440.33</v>
      </c>
      <c r="R172" s="71">
        <f>AVERAGE(R158:R159)</f>
        <v>4.6300000000000001E-2</v>
      </c>
      <c r="S172" s="60">
        <f>T171</f>
        <v>2241931.33</v>
      </c>
      <c r="T172" s="61">
        <f>ROUND(R172*S172,2)</f>
        <v>103801.42</v>
      </c>
    </row>
    <row r="173" spans="1:20" x14ac:dyDescent="0.15">
      <c r="A173" s="32" t="s">
        <v>55</v>
      </c>
      <c r="B173" s="16"/>
      <c r="C173" s="17"/>
      <c r="D173" s="18"/>
      <c r="E173" s="61">
        <f t="shared" si="72"/>
        <v>10818449.460000001</v>
      </c>
      <c r="F173" s="18"/>
      <c r="G173" s="19"/>
      <c r="H173" s="56">
        <f>H171+H172</f>
        <v>2030841.7200000002</v>
      </c>
      <c r="I173" s="18"/>
      <c r="J173" s="19"/>
      <c r="K173" s="56">
        <f>K171+K172</f>
        <v>2050278.49</v>
      </c>
      <c r="L173" s="18"/>
      <c r="M173" s="19"/>
      <c r="N173" s="56">
        <f>N171+N172</f>
        <v>2167015.0500000003</v>
      </c>
      <c r="O173" s="18"/>
      <c r="P173" s="19"/>
      <c r="Q173" s="56">
        <f>Q171+Q172</f>
        <v>2224581.4500000002</v>
      </c>
      <c r="R173" s="18"/>
      <c r="S173" s="19"/>
      <c r="T173" s="56">
        <f>T171+T172</f>
        <v>2345732.75</v>
      </c>
    </row>
    <row r="174" spans="1:20" x14ac:dyDescent="0.15">
      <c r="A174" s="33"/>
      <c r="B174" s="34"/>
      <c r="C174" s="35"/>
      <c r="D174" s="36"/>
      <c r="E174" s="35"/>
      <c r="F174" s="36"/>
      <c r="G174" s="37"/>
      <c r="H174" s="35"/>
      <c r="I174" s="36"/>
      <c r="J174" s="37"/>
      <c r="K174" s="35"/>
      <c r="L174" s="36"/>
      <c r="M174" s="37"/>
      <c r="N174" s="35"/>
      <c r="O174" s="36"/>
      <c r="P174" s="37"/>
      <c r="Q174" s="35"/>
      <c r="R174" s="36"/>
      <c r="S174" s="37"/>
      <c r="T174" s="35"/>
    </row>
    <row r="175" spans="1:20" ht="13" thickBot="1" x14ac:dyDescent="0.2">
      <c r="A175" s="27" t="s">
        <v>39</v>
      </c>
      <c r="B175" s="28"/>
      <c r="C175" s="29"/>
      <c r="D175" s="66">
        <f t="shared" ref="D175" si="73">G175+J175+M175+P175+S175</f>
        <v>1112584</v>
      </c>
      <c r="E175" s="67">
        <f t="shared" ref="E175" si="74">H175+K175+N175+Q175+T175</f>
        <v>120499068.66999999</v>
      </c>
      <c r="F175" s="30"/>
      <c r="G175" s="68">
        <f>G169+G171</f>
        <v>221276</v>
      </c>
      <c r="H175" s="69">
        <f>H169+H173</f>
        <v>22630421.949999999</v>
      </c>
      <c r="I175" s="30"/>
      <c r="J175" s="68">
        <f>J169+J171</f>
        <v>217140</v>
      </c>
      <c r="K175" s="69">
        <f>K169+K173</f>
        <v>22824842.370000001</v>
      </c>
      <c r="L175" s="30"/>
      <c r="M175" s="68">
        <f>M169+M171</f>
        <v>223344</v>
      </c>
      <c r="N175" s="69">
        <f>N169+N173</f>
        <v>24134829.34</v>
      </c>
      <c r="O175" s="30"/>
      <c r="P175" s="68">
        <f>P169+P171</f>
        <v>223344</v>
      </c>
      <c r="Q175" s="69">
        <f>Q169+Q173</f>
        <v>24775682.579999998</v>
      </c>
      <c r="R175" s="30"/>
      <c r="S175" s="68">
        <f>S169+S171</f>
        <v>227480</v>
      </c>
      <c r="T175" s="69">
        <f>T169+T173</f>
        <v>26133292.43</v>
      </c>
    </row>
    <row r="176" spans="1:20" x14ac:dyDescent="0.15">
      <c r="A176" s="31"/>
      <c r="B176" s="31"/>
    </row>
    <row r="178" spans="1:5" ht="13" thickBot="1" x14ac:dyDescent="0.2"/>
    <row r="179" spans="1:5" ht="13" thickBot="1" x14ac:dyDescent="0.2">
      <c r="A179" s="38" t="s">
        <v>40</v>
      </c>
      <c r="B179" s="38"/>
      <c r="C179" s="39" t="s">
        <v>8</v>
      </c>
      <c r="D179" s="40" t="s">
        <v>41</v>
      </c>
    </row>
    <row r="180" spans="1:5" x14ac:dyDescent="0.15">
      <c r="A180" s="41" t="s">
        <v>22</v>
      </c>
      <c r="B180" s="41"/>
      <c r="C180" s="42">
        <f>E147</f>
        <v>31614756.799999997</v>
      </c>
      <c r="D180" s="43"/>
    </row>
    <row r="181" spans="1:5" x14ac:dyDescent="0.15">
      <c r="A181" s="44" t="s">
        <v>42</v>
      </c>
      <c r="B181" s="44"/>
      <c r="C181" s="45">
        <f>E152</f>
        <v>2102381.3272000002</v>
      </c>
      <c r="D181" s="46"/>
    </row>
    <row r="182" spans="1:5" x14ac:dyDescent="0.15">
      <c r="A182" s="47" t="s">
        <v>32</v>
      </c>
      <c r="B182" s="47"/>
      <c r="C182" s="48">
        <f>E159</f>
        <v>424835.94043800002</v>
      </c>
      <c r="D182" s="49"/>
    </row>
    <row r="183" spans="1:5" x14ac:dyDescent="0.15">
      <c r="A183" s="47" t="s">
        <v>43</v>
      </c>
      <c r="B183" s="47"/>
      <c r="C183" s="48">
        <f>C181+C182</f>
        <v>2527217.2676380002</v>
      </c>
      <c r="D183" s="50">
        <f>C183/C180</f>
        <v>7.9937900001115947E-2</v>
      </c>
    </row>
    <row r="184" spans="1:5" ht="13" thickBot="1" x14ac:dyDescent="0.2">
      <c r="A184" s="51" t="s">
        <v>44</v>
      </c>
      <c r="B184" s="51"/>
      <c r="C184" s="52"/>
      <c r="D184" s="53">
        <v>0.08</v>
      </c>
    </row>
    <row r="186" spans="1:5" ht="13" thickBot="1" x14ac:dyDescent="0.2"/>
    <row r="187" spans="1:5" ht="13" thickBot="1" x14ac:dyDescent="0.2">
      <c r="A187" s="38" t="s">
        <v>45</v>
      </c>
      <c r="B187" s="38"/>
      <c r="C187" s="39" t="s">
        <v>8</v>
      </c>
      <c r="D187" s="40" t="s">
        <v>41</v>
      </c>
    </row>
    <row r="188" spans="1:5" x14ac:dyDescent="0.15">
      <c r="A188" s="41" t="s">
        <v>10</v>
      </c>
      <c r="B188" s="41"/>
      <c r="C188" s="42">
        <f>E103</f>
        <v>69680066.120000005</v>
      </c>
      <c r="D188" s="43"/>
    </row>
    <row r="189" spans="1:5" x14ac:dyDescent="0.15">
      <c r="A189" s="44" t="s">
        <v>46</v>
      </c>
      <c r="B189" s="44"/>
      <c r="C189" s="45">
        <f>E158</f>
        <v>5574405.2896000007</v>
      </c>
      <c r="D189" s="54">
        <f>C189/C188</f>
        <v>0.08</v>
      </c>
    </row>
    <row r="190" spans="1:5" ht="13" thickBot="1" x14ac:dyDescent="0.2">
      <c r="A190" s="51" t="s">
        <v>47</v>
      </c>
      <c r="B190" s="51"/>
      <c r="C190" s="52"/>
      <c r="D190" s="53">
        <v>0.08</v>
      </c>
    </row>
    <row r="192" spans="1:5" ht="62.25" customHeight="1" x14ac:dyDescent="0.15">
      <c r="A192" s="79" t="s">
        <v>48</v>
      </c>
      <c r="B192" s="79"/>
      <c r="C192" s="79"/>
      <c r="D192" s="79"/>
      <c r="E192" s="79"/>
    </row>
  </sheetData>
  <mergeCells count="7">
    <mergeCell ref="O7:Q7"/>
    <mergeCell ref="R7:T7"/>
    <mergeCell ref="A192:E192"/>
    <mergeCell ref="D7:E7"/>
    <mergeCell ref="F7:H7"/>
    <mergeCell ref="I7:K7"/>
    <mergeCell ref="L7:N7"/>
  </mergeCells>
  <phoneticPr fontId="3" type="noConversion"/>
  <pageMargins left="0.5" right="0.5" top="0.5" bottom="0.5" header="0.5" footer="0.5"/>
  <pageSetup scale="2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5E1A9-A61C-A44D-AA7C-56028B8FF81B}">
  <dimension ref="B2:P165"/>
  <sheetViews>
    <sheetView tabSelected="1" workbookViewId="0">
      <selection activeCell="G45" sqref="G45"/>
    </sheetView>
  </sheetViews>
  <sheetFormatPr baseColWidth="10" defaultColWidth="9.1640625" defaultRowHeight="13" x14ac:dyDescent="0.15"/>
  <cols>
    <col min="1" max="1" width="2.33203125" style="82" customWidth="1"/>
    <col min="2" max="2" width="9.83203125" style="82" customWidth="1"/>
    <col min="3" max="3" width="13.5" style="82" bestFit="1" customWidth="1"/>
    <col min="4" max="4" width="7.5" style="82" customWidth="1"/>
    <col min="5" max="5" width="11.1640625" style="82" bestFit="1" customWidth="1"/>
    <col min="6" max="6" width="12.5" style="82" bestFit="1" customWidth="1"/>
    <col min="7" max="7" width="9.1640625" style="82"/>
    <col min="8" max="8" width="59.6640625" style="82" customWidth="1"/>
    <col min="9" max="9" width="13.5" style="82" bestFit="1" customWidth="1"/>
    <col min="10" max="10" width="12.5" style="82" customWidth="1"/>
    <col min="11" max="11" width="10.83203125" style="82" customWidth="1"/>
    <col min="12" max="12" width="11" style="82" bestFit="1" customWidth="1"/>
    <col min="13" max="14" width="10.83203125" style="82" customWidth="1"/>
    <col min="15" max="16" width="10.5" style="82" bestFit="1" customWidth="1"/>
    <col min="17" max="16384" width="9.1640625" style="82"/>
  </cols>
  <sheetData>
    <row r="2" spans="2:16" ht="15" x14ac:dyDescent="0.2">
      <c r="B2" s="80"/>
      <c r="C2" s="80" t="s">
        <v>123</v>
      </c>
      <c r="D2" s="81"/>
      <c r="E2" s="81"/>
      <c r="F2" s="81"/>
      <c r="J2" s="83">
        <f>D8</f>
        <v>9.0909090909090745E-2</v>
      </c>
      <c r="K2" s="83">
        <f>D7</f>
        <v>6.2353492733239341E-2</v>
      </c>
      <c r="M2" s="84">
        <f>D4</f>
        <v>6.6500000000000004E-2</v>
      </c>
      <c r="N2" s="84">
        <f>D3</f>
        <v>0.1</v>
      </c>
    </row>
    <row r="3" spans="2:16" ht="15" x14ac:dyDescent="0.2">
      <c r="B3" s="85" t="s">
        <v>124</v>
      </c>
      <c r="C3" s="86">
        <v>140</v>
      </c>
      <c r="D3" s="87">
        <v>0.1</v>
      </c>
      <c r="E3" s="88">
        <f>C3*D3</f>
        <v>14</v>
      </c>
      <c r="F3" s="88">
        <f>C3+E3</f>
        <v>154</v>
      </c>
      <c r="G3" s="89"/>
      <c r="H3" s="90" t="s">
        <v>125</v>
      </c>
      <c r="I3" s="90" t="s">
        <v>123</v>
      </c>
      <c r="J3" s="91" t="s">
        <v>124</v>
      </c>
      <c r="K3" s="90" t="s">
        <v>126</v>
      </c>
      <c r="L3" s="90" t="s">
        <v>127</v>
      </c>
      <c r="M3" s="90" t="s">
        <v>126</v>
      </c>
      <c r="N3" s="91" t="s">
        <v>124</v>
      </c>
      <c r="O3" s="92" t="s">
        <v>128</v>
      </c>
    </row>
    <row r="4" spans="2:16" ht="15" x14ac:dyDescent="0.2">
      <c r="B4" s="85" t="s">
        <v>126</v>
      </c>
      <c r="C4" s="88">
        <f>F3</f>
        <v>154</v>
      </c>
      <c r="D4" s="87">
        <v>6.6500000000000004E-2</v>
      </c>
      <c r="E4" s="88">
        <f>C4*D4</f>
        <v>10.241</v>
      </c>
      <c r="F4" s="88">
        <f>C4+E4</f>
        <v>164.24099999999999</v>
      </c>
      <c r="G4" s="89"/>
      <c r="H4" s="88" t="s">
        <v>129</v>
      </c>
      <c r="I4" s="93">
        <v>140</v>
      </c>
      <c r="J4" s="93">
        <f>ROUND(I4-(I4*$J$2),0)</f>
        <v>127</v>
      </c>
      <c r="K4" s="93">
        <f>ROUND(J4-(J4*$K$2),0)</f>
        <v>119</v>
      </c>
      <c r="L4" s="94">
        <f>ROUND(K4,0)</f>
        <v>119</v>
      </c>
      <c r="M4" s="95">
        <f>ROUND(L4+(L4*$M$2),0)</f>
        <v>127</v>
      </c>
      <c r="N4" s="95">
        <f>ROUND(M4+(M4*$N$2),0)</f>
        <v>140</v>
      </c>
      <c r="O4" s="95">
        <f>I4-N4</f>
        <v>0</v>
      </c>
    </row>
    <row r="5" spans="2:16" ht="15" x14ac:dyDescent="0.2">
      <c r="B5" s="80"/>
      <c r="C5" s="81"/>
      <c r="D5" s="81"/>
      <c r="E5" s="81"/>
      <c r="F5" s="81"/>
      <c r="H5" s="88" t="s">
        <v>130</v>
      </c>
      <c r="I5" s="93">
        <v>89</v>
      </c>
      <c r="J5" s="93">
        <f t="shared" ref="J5:J17" si="0">ROUND(I5-(I5*$J$2),0)</f>
        <v>81</v>
      </c>
      <c r="K5" s="93">
        <f t="shared" ref="K5:K17" si="1">ROUND(J5-(J5*$K$2),0)</f>
        <v>76</v>
      </c>
      <c r="L5" s="94">
        <f t="shared" ref="L5:L17" si="2">ROUND(K5,0)</f>
        <v>76</v>
      </c>
      <c r="M5" s="95">
        <f>ROUND(L5+(L5*$M$2),0)</f>
        <v>81</v>
      </c>
      <c r="N5" s="95">
        <f t="shared" ref="N5:N17" si="3">ROUND(M5+(M5*$N$2),0)</f>
        <v>89</v>
      </c>
      <c r="O5" s="95">
        <f>I5-N5</f>
        <v>0</v>
      </c>
    </row>
    <row r="6" spans="2:16" ht="15" x14ac:dyDescent="0.2">
      <c r="B6" s="80"/>
      <c r="C6" s="81"/>
      <c r="D6" s="81"/>
      <c r="E6" s="81"/>
      <c r="F6" s="81"/>
      <c r="H6" s="88" t="s">
        <v>131</v>
      </c>
      <c r="I6" s="93">
        <v>193</v>
      </c>
      <c r="J6" s="93">
        <f t="shared" si="0"/>
        <v>175</v>
      </c>
      <c r="K6" s="93">
        <f t="shared" si="1"/>
        <v>164</v>
      </c>
      <c r="L6" s="94">
        <f t="shared" si="2"/>
        <v>164</v>
      </c>
      <c r="M6" s="95">
        <f>ROUND(L6+(L6*$M$2),0)</f>
        <v>175</v>
      </c>
      <c r="N6" s="95">
        <f t="shared" si="3"/>
        <v>193</v>
      </c>
      <c r="O6" s="95">
        <f>I6-N6</f>
        <v>0</v>
      </c>
    </row>
    <row r="7" spans="2:16" ht="15" x14ac:dyDescent="0.2">
      <c r="B7" s="85" t="s">
        <v>126</v>
      </c>
      <c r="C7" s="88">
        <f>F4</f>
        <v>164.24099999999999</v>
      </c>
      <c r="D7" s="96">
        <v>6.2353492733239341E-2</v>
      </c>
      <c r="E7" s="97">
        <f>C7*D7</f>
        <v>10.240999999999962</v>
      </c>
      <c r="F7" s="88">
        <f>C7-E7</f>
        <v>154.00000000000003</v>
      </c>
      <c r="H7" s="88" t="s">
        <v>132</v>
      </c>
      <c r="I7" s="93">
        <v>101</v>
      </c>
      <c r="J7" s="93">
        <f t="shared" si="0"/>
        <v>92</v>
      </c>
      <c r="K7" s="93">
        <f t="shared" si="1"/>
        <v>86</v>
      </c>
      <c r="L7" s="94">
        <f t="shared" si="2"/>
        <v>86</v>
      </c>
      <c r="M7" s="95">
        <f>ROUND(L7+(L7*$M$2),0)</f>
        <v>92</v>
      </c>
      <c r="N7" s="95">
        <f t="shared" si="3"/>
        <v>101</v>
      </c>
      <c r="O7" s="95">
        <f>I7-N7</f>
        <v>0</v>
      </c>
    </row>
    <row r="8" spans="2:16" ht="15" x14ac:dyDescent="0.2">
      <c r="B8" s="85" t="s">
        <v>124</v>
      </c>
      <c r="C8" s="88">
        <f>F7</f>
        <v>154.00000000000003</v>
      </c>
      <c r="D8" s="96">
        <v>9.0909090909090745E-2</v>
      </c>
      <c r="E8" s="97">
        <f>C8*D8</f>
        <v>13.999999999999977</v>
      </c>
      <c r="F8" s="98">
        <f>C8-E8</f>
        <v>140.00000000000006</v>
      </c>
      <c r="G8" s="83"/>
      <c r="H8" s="88" t="s">
        <v>133</v>
      </c>
      <c r="I8" s="93">
        <v>175</v>
      </c>
      <c r="J8" s="93">
        <f t="shared" si="0"/>
        <v>159</v>
      </c>
      <c r="K8" s="93">
        <f t="shared" si="1"/>
        <v>149</v>
      </c>
      <c r="L8" s="94">
        <f t="shared" si="2"/>
        <v>149</v>
      </c>
      <c r="M8" s="95">
        <f>ROUND(L8+(L8*$M$2),0)</f>
        <v>159</v>
      </c>
      <c r="N8" s="95">
        <f t="shared" si="3"/>
        <v>175</v>
      </c>
      <c r="O8" s="95">
        <f>I8-N8</f>
        <v>0</v>
      </c>
    </row>
    <row r="9" spans="2:16" x14ac:dyDescent="0.15">
      <c r="B9" s="81"/>
      <c r="C9" s="93"/>
      <c r="D9" s="93"/>
      <c r="E9" s="93"/>
      <c r="F9" s="93"/>
      <c r="G9" s="99"/>
      <c r="H9" s="88" t="s">
        <v>134</v>
      </c>
      <c r="I9" s="93">
        <v>145</v>
      </c>
      <c r="J9" s="93">
        <f t="shared" si="0"/>
        <v>132</v>
      </c>
      <c r="K9" s="93">
        <f t="shared" si="1"/>
        <v>124</v>
      </c>
      <c r="L9" s="94">
        <f t="shared" si="2"/>
        <v>124</v>
      </c>
      <c r="M9" s="95">
        <f>ROUND(L9+(L9*$M$2),0)</f>
        <v>132</v>
      </c>
      <c r="N9" s="95">
        <f t="shared" si="3"/>
        <v>145</v>
      </c>
      <c r="O9" s="95">
        <f>I9-N9</f>
        <v>0</v>
      </c>
      <c r="P9" s="100"/>
    </row>
    <row r="10" spans="2:16" x14ac:dyDescent="0.15">
      <c r="C10" s="99"/>
      <c r="D10" s="99"/>
      <c r="E10" s="99"/>
      <c r="F10" s="99"/>
      <c r="G10" s="99"/>
      <c r="H10" s="88" t="s">
        <v>135</v>
      </c>
      <c r="I10" s="93">
        <v>112</v>
      </c>
      <c r="J10" s="93">
        <f t="shared" si="0"/>
        <v>102</v>
      </c>
      <c r="K10" s="93">
        <f t="shared" si="1"/>
        <v>96</v>
      </c>
      <c r="L10" s="94">
        <f t="shared" si="2"/>
        <v>96</v>
      </c>
      <c r="M10" s="95">
        <f>ROUND(L10+(L10*$M$2),0)</f>
        <v>102</v>
      </c>
      <c r="N10" s="95">
        <f t="shared" si="3"/>
        <v>112</v>
      </c>
      <c r="O10" s="95">
        <f>I10-N10</f>
        <v>0</v>
      </c>
      <c r="P10" s="100"/>
    </row>
    <row r="11" spans="2:16" x14ac:dyDescent="0.15">
      <c r="C11" s="99"/>
      <c r="D11" s="99"/>
      <c r="E11" s="99"/>
      <c r="F11" s="99"/>
      <c r="G11" s="99"/>
      <c r="H11" s="88" t="s">
        <v>136</v>
      </c>
      <c r="I11" s="93">
        <v>148</v>
      </c>
      <c r="J11" s="93">
        <f t="shared" si="0"/>
        <v>135</v>
      </c>
      <c r="K11" s="93">
        <f t="shared" si="1"/>
        <v>127</v>
      </c>
      <c r="L11" s="94">
        <f t="shared" si="2"/>
        <v>127</v>
      </c>
      <c r="M11" s="95">
        <f>ROUND(L11+(L11*$M$2),0)</f>
        <v>135</v>
      </c>
      <c r="N11" s="95">
        <f t="shared" si="3"/>
        <v>149</v>
      </c>
      <c r="O11" s="95">
        <f>I11-N11</f>
        <v>-1</v>
      </c>
      <c r="P11" s="100"/>
    </row>
    <row r="12" spans="2:16" x14ac:dyDescent="0.15">
      <c r="C12" s="99"/>
      <c r="D12" s="84"/>
      <c r="E12" s="99"/>
      <c r="F12" s="99"/>
      <c r="G12" s="99"/>
      <c r="H12" s="88" t="s">
        <v>137</v>
      </c>
      <c r="I12" s="93">
        <v>135</v>
      </c>
      <c r="J12" s="93">
        <f t="shared" si="0"/>
        <v>123</v>
      </c>
      <c r="K12" s="93">
        <f t="shared" si="1"/>
        <v>115</v>
      </c>
      <c r="L12" s="94">
        <f t="shared" si="2"/>
        <v>115</v>
      </c>
      <c r="M12" s="95">
        <f>ROUND(L12+(L12*$M$2),0)</f>
        <v>123</v>
      </c>
      <c r="N12" s="95">
        <f t="shared" si="3"/>
        <v>135</v>
      </c>
      <c r="O12" s="95">
        <f>I12-N12</f>
        <v>0</v>
      </c>
      <c r="P12" s="100"/>
    </row>
    <row r="13" spans="2:16" x14ac:dyDescent="0.15">
      <c r="C13" s="99"/>
      <c r="D13" s="101"/>
      <c r="E13" s="99"/>
      <c r="F13" s="99"/>
      <c r="G13" s="99"/>
      <c r="H13" s="88" t="s">
        <v>138</v>
      </c>
      <c r="I13" s="93">
        <v>148</v>
      </c>
      <c r="J13" s="93">
        <f t="shared" si="0"/>
        <v>135</v>
      </c>
      <c r="K13" s="93">
        <f t="shared" si="1"/>
        <v>127</v>
      </c>
      <c r="L13" s="94">
        <f t="shared" si="2"/>
        <v>127</v>
      </c>
      <c r="M13" s="95">
        <f>ROUND(L13+(L13*$M$2),0)</f>
        <v>135</v>
      </c>
      <c r="N13" s="95">
        <f t="shared" si="3"/>
        <v>149</v>
      </c>
      <c r="O13" s="95">
        <f>I13-N13</f>
        <v>-1</v>
      </c>
      <c r="P13" s="100"/>
    </row>
    <row r="14" spans="2:16" x14ac:dyDescent="0.15">
      <c r="C14" s="99"/>
      <c r="D14" s="99"/>
      <c r="E14" s="99"/>
      <c r="F14" s="99"/>
      <c r="G14" s="99"/>
      <c r="H14" s="88" t="s">
        <v>139</v>
      </c>
      <c r="I14" s="93">
        <v>138</v>
      </c>
      <c r="J14" s="93">
        <f t="shared" si="0"/>
        <v>125</v>
      </c>
      <c r="K14" s="93">
        <f t="shared" si="1"/>
        <v>117</v>
      </c>
      <c r="L14" s="94">
        <f t="shared" si="2"/>
        <v>117</v>
      </c>
      <c r="M14" s="95">
        <f>ROUND(L14+(L14*$M$2),0)</f>
        <v>125</v>
      </c>
      <c r="N14" s="95">
        <f t="shared" si="3"/>
        <v>138</v>
      </c>
      <c r="O14" s="95">
        <f>I14-N14</f>
        <v>0</v>
      </c>
      <c r="P14" s="100"/>
    </row>
    <row r="15" spans="2:16" x14ac:dyDescent="0.15">
      <c r="C15" s="99"/>
      <c r="D15" s="99"/>
      <c r="E15" s="99"/>
      <c r="F15" s="99"/>
      <c r="G15" s="99"/>
      <c r="H15" s="88" t="s">
        <v>140</v>
      </c>
      <c r="I15" s="93">
        <v>148</v>
      </c>
      <c r="J15" s="93">
        <f t="shared" si="0"/>
        <v>135</v>
      </c>
      <c r="K15" s="93">
        <f t="shared" si="1"/>
        <v>127</v>
      </c>
      <c r="L15" s="94">
        <f t="shared" si="2"/>
        <v>127</v>
      </c>
      <c r="M15" s="95">
        <f>ROUND(L15+(L15*$M$2),0)</f>
        <v>135</v>
      </c>
      <c r="N15" s="95">
        <f t="shared" si="3"/>
        <v>149</v>
      </c>
      <c r="O15" s="95">
        <f>I15-N15</f>
        <v>-1</v>
      </c>
      <c r="P15" s="100"/>
    </row>
    <row r="16" spans="2:16" x14ac:dyDescent="0.15">
      <c r="C16" s="99"/>
      <c r="D16" s="99"/>
      <c r="E16" s="99"/>
      <c r="F16" s="99"/>
      <c r="G16" s="99"/>
      <c r="H16" s="88" t="s">
        <v>141</v>
      </c>
      <c r="I16" s="93">
        <v>85</v>
      </c>
      <c r="J16" s="93">
        <f t="shared" si="0"/>
        <v>77</v>
      </c>
      <c r="K16" s="93">
        <f t="shared" si="1"/>
        <v>72</v>
      </c>
      <c r="L16" s="94">
        <f t="shared" si="2"/>
        <v>72</v>
      </c>
      <c r="M16" s="95">
        <f>ROUND(L16+(L16*$M$2),0)</f>
        <v>77</v>
      </c>
      <c r="N16" s="95">
        <f t="shared" si="3"/>
        <v>85</v>
      </c>
      <c r="O16" s="95">
        <f>I16-N16</f>
        <v>0</v>
      </c>
      <c r="P16" s="100"/>
    </row>
    <row r="17" spans="3:16" x14ac:dyDescent="0.15">
      <c r="C17" s="99"/>
      <c r="D17" s="99"/>
      <c r="E17" s="99"/>
      <c r="F17" s="99"/>
      <c r="G17" s="99"/>
      <c r="H17" s="88" t="s">
        <v>142</v>
      </c>
      <c r="I17" s="93">
        <v>118</v>
      </c>
      <c r="J17" s="93">
        <f t="shared" si="0"/>
        <v>107</v>
      </c>
      <c r="K17" s="93">
        <f t="shared" si="1"/>
        <v>100</v>
      </c>
      <c r="L17" s="94">
        <f t="shared" si="2"/>
        <v>100</v>
      </c>
      <c r="M17" s="95">
        <f>ROUND(L17+(L17*$M$2),0)</f>
        <v>107</v>
      </c>
      <c r="N17" s="95">
        <f t="shared" si="3"/>
        <v>118</v>
      </c>
      <c r="O17" s="95">
        <f>I17-N17</f>
        <v>0</v>
      </c>
      <c r="P17" s="100"/>
    </row>
    <row r="18" spans="3:16" x14ac:dyDescent="0.15"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</row>
    <row r="19" spans="3:16" x14ac:dyDescent="0.15"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</row>
    <row r="20" spans="3:16" x14ac:dyDescent="0.15"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</row>
    <row r="21" spans="3:16" x14ac:dyDescent="0.15"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</row>
    <row r="22" spans="3:16" x14ac:dyDescent="0.15"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</row>
    <row r="23" spans="3:16" x14ac:dyDescent="0.15"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</row>
    <row r="24" spans="3:16" x14ac:dyDescent="0.15"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</row>
    <row r="25" spans="3:16" x14ac:dyDescent="0.15"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</row>
    <row r="26" spans="3:16" x14ac:dyDescent="0.15"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</row>
    <row r="27" spans="3:16" x14ac:dyDescent="0.15"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</row>
    <row r="28" spans="3:16" x14ac:dyDescent="0.15"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</row>
    <row r="29" spans="3:16" x14ac:dyDescent="0.15"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</row>
    <row r="30" spans="3:16" x14ac:dyDescent="0.15"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</row>
    <row r="31" spans="3:16" x14ac:dyDescent="0.15"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</row>
    <row r="32" spans="3:16" x14ac:dyDescent="0.15"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</row>
    <row r="33" spans="4:14" x14ac:dyDescent="0.15"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</row>
    <row r="34" spans="4:14" x14ac:dyDescent="0.15"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</row>
    <row r="35" spans="4:14" x14ac:dyDescent="0.15"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</row>
    <row r="36" spans="4:14" x14ac:dyDescent="0.15"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</row>
    <row r="37" spans="4:14" x14ac:dyDescent="0.15"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</row>
    <row r="38" spans="4:14" x14ac:dyDescent="0.15"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</row>
    <row r="39" spans="4:14" x14ac:dyDescent="0.15"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</row>
    <row r="40" spans="4:14" x14ac:dyDescent="0.15"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</row>
    <row r="41" spans="4:14" x14ac:dyDescent="0.15"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</row>
    <row r="42" spans="4:14" x14ac:dyDescent="0.15"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</row>
    <row r="43" spans="4:14" x14ac:dyDescent="0.15"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</row>
    <row r="44" spans="4:14" x14ac:dyDescent="0.15"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</row>
    <row r="45" spans="4:14" x14ac:dyDescent="0.15"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</row>
    <row r="46" spans="4:14" x14ac:dyDescent="0.15"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</row>
    <row r="47" spans="4:14" x14ac:dyDescent="0.15"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</row>
    <row r="48" spans="4:14" x14ac:dyDescent="0.15"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</row>
    <row r="49" spans="4:14" x14ac:dyDescent="0.15"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</row>
    <row r="50" spans="4:14" x14ac:dyDescent="0.15"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</row>
    <row r="51" spans="4:14" x14ac:dyDescent="0.15"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</row>
    <row r="52" spans="4:14" x14ac:dyDescent="0.15"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</row>
    <row r="53" spans="4:14" x14ac:dyDescent="0.15"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</row>
    <row r="54" spans="4:14" x14ac:dyDescent="0.15"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</row>
    <row r="55" spans="4:14" x14ac:dyDescent="0.15"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</row>
    <row r="56" spans="4:14" x14ac:dyDescent="0.15"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</row>
    <row r="57" spans="4:14" x14ac:dyDescent="0.15"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</row>
    <row r="58" spans="4:14" x14ac:dyDescent="0.15"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</row>
    <row r="59" spans="4:14" x14ac:dyDescent="0.15"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</row>
    <row r="60" spans="4:14" x14ac:dyDescent="0.15"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</row>
    <row r="61" spans="4:14" x14ac:dyDescent="0.15"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</row>
    <row r="62" spans="4:14" x14ac:dyDescent="0.15"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</row>
    <row r="63" spans="4:14" x14ac:dyDescent="0.15"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</row>
    <row r="64" spans="4:14" x14ac:dyDescent="0.15"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</row>
    <row r="65" spans="4:14" x14ac:dyDescent="0.15"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</row>
    <row r="66" spans="4:14" x14ac:dyDescent="0.15"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</row>
    <row r="67" spans="4:14" x14ac:dyDescent="0.15"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</row>
    <row r="68" spans="4:14" x14ac:dyDescent="0.15"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</row>
    <row r="69" spans="4:14" x14ac:dyDescent="0.15"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</row>
    <row r="70" spans="4:14" x14ac:dyDescent="0.15"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</row>
    <row r="71" spans="4:14" x14ac:dyDescent="0.15"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</row>
    <row r="72" spans="4:14" x14ac:dyDescent="0.15"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</row>
    <row r="73" spans="4:14" x14ac:dyDescent="0.15"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</row>
    <row r="74" spans="4:14" x14ac:dyDescent="0.15"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</row>
    <row r="75" spans="4:14" x14ac:dyDescent="0.15"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</row>
    <row r="76" spans="4:14" x14ac:dyDescent="0.15"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</row>
    <row r="77" spans="4:14" x14ac:dyDescent="0.15"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</row>
    <row r="78" spans="4:14" x14ac:dyDescent="0.15"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</row>
    <row r="79" spans="4:14" x14ac:dyDescent="0.15"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</row>
    <row r="80" spans="4:14" x14ac:dyDescent="0.15"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</row>
    <row r="81" spans="4:14" x14ac:dyDescent="0.15"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</row>
    <row r="82" spans="4:14" x14ac:dyDescent="0.15"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</row>
    <row r="83" spans="4:14" x14ac:dyDescent="0.15"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</row>
    <row r="84" spans="4:14" x14ac:dyDescent="0.15"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</row>
    <row r="85" spans="4:14" x14ac:dyDescent="0.15"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</row>
    <row r="86" spans="4:14" x14ac:dyDescent="0.15"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</row>
    <row r="87" spans="4:14" x14ac:dyDescent="0.15"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</row>
    <row r="88" spans="4:14" x14ac:dyDescent="0.15"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</row>
    <row r="89" spans="4:14" x14ac:dyDescent="0.15"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</row>
    <row r="90" spans="4:14" x14ac:dyDescent="0.15"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</row>
    <row r="91" spans="4:14" x14ac:dyDescent="0.15"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</row>
    <row r="92" spans="4:14" x14ac:dyDescent="0.15"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</row>
    <row r="93" spans="4:14" x14ac:dyDescent="0.15"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</row>
    <row r="94" spans="4:14" x14ac:dyDescent="0.15"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</row>
    <row r="95" spans="4:14" x14ac:dyDescent="0.15"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</row>
    <row r="96" spans="4:14" x14ac:dyDescent="0.15"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</row>
    <row r="97" spans="4:14" x14ac:dyDescent="0.15"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</row>
    <row r="98" spans="4:14" x14ac:dyDescent="0.15"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</row>
    <row r="99" spans="4:14" x14ac:dyDescent="0.15"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</row>
    <row r="100" spans="4:14" x14ac:dyDescent="0.15"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</row>
    <row r="101" spans="4:14" x14ac:dyDescent="0.15"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</row>
    <row r="102" spans="4:14" x14ac:dyDescent="0.15"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</row>
    <row r="103" spans="4:14" x14ac:dyDescent="0.15"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</row>
    <row r="104" spans="4:14" x14ac:dyDescent="0.15"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</row>
    <row r="105" spans="4:14" x14ac:dyDescent="0.15"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</row>
    <row r="106" spans="4:14" x14ac:dyDescent="0.15"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</row>
    <row r="107" spans="4:14" x14ac:dyDescent="0.15"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</row>
    <row r="108" spans="4:14" x14ac:dyDescent="0.15"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</row>
    <row r="109" spans="4:14" x14ac:dyDescent="0.15"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</row>
    <row r="110" spans="4:14" x14ac:dyDescent="0.15"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</row>
    <row r="111" spans="4:14" x14ac:dyDescent="0.15"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</row>
    <row r="112" spans="4:14" x14ac:dyDescent="0.15"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</row>
    <row r="113" spans="4:14" x14ac:dyDescent="0.15"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</row>
    <row r="114" spans="4:14" x14ac:dyDescent="0.15"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</row>
    <row r="115" spans="4:14" x14ac:dyDescent="0.15"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</row>
    <row r="116" spans="4:14" x14ac:dyDescent="0.15"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</row>
    <row r="117" spans="4:14" x14ac:dyDescent="0.15"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</row>
    <row r="118" spans="4:14" x14ac:dyDescent="0.15"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</row>
    <row r="119" spans="4:14" x14ac:dyDescent="0.15"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</row>
    <row r="120" spans="4:14" x14ac:dyDescent="0.15"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</row>
    <row r="121" spans="4:14" x14ac:dyDescent="0.15"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</row>
    <row r="122" spans="4:14" x14ac:dyDescent="0.15"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</row>
    <row r="123" spans="4:14" x14ac:dyDescent="0.15"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</row>
    <row r="124" spans="4:14" x14ac:dyDescent="0.15"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</row>
    <row r="125" spans="4:14" x14ac:dyDescent="0.15"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</row>
    <row r="126" spans="4:14" x14ac:dyDescent="0.15"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</row>
    <row r="127" spans="4:14" x14ac:dyDescent="0.15"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</row>
    <row r="128" spans="4:14" x14ac:dyDescent="0.15"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</row>
    <row r="129" spans="4:14" x14ac:dyDescent="0.15"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</row>
    <row r="130" spans="4:14" x14ac:dyDescent="0.15"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</row>
    <row r="131" spans="4:14" x14ac:dyDescent="0.15"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</row>
    <row r="132" spans="4:14" x14ac:dyDescent="0.15"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</row>
    <row r="133" spans="4:14" x14ac:dyDescent="0.15"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</row>
    <row r="134" spans="4:14" x14ac:dyDescent="0.15"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</row>
    <row r="135" spans="4:14" x14ac:dyDescent="0.15"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</row>
    <row r="136" spans="4:14" x14ac:dyDescent="0.15"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</row>
    <row r="137" spans="4:14" x14ac:dyDescent="0.15"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</row>
    <row r="138" spans="4:14" x14ac:dyDescent="0.15"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</row>
    <row r="139" spans="4:14" x14ac:dyDescent="0.15"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</row>
    <row r="140" spans="4:14" x14ac:dyDescent="0.15"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</row>
    <row r="141" spans="4:14" x14ac:dyDescent="0.15"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</row>
    <row r="142" spans="4:14" x14ac:dyDescent="0.15"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</row>
    <row r="143" spans="4:14" x14ac:dyDescent="0.15"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</row>
    <row r="144" spans="4:14" x14ac:dyDescent="0.15"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</row>
    <row r="145" spans="4:14" x14ac:dyDescent="0.15"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</row>
    <row r="146" spans="4:14" x14ac:dyDescent="0.15"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</row>
    <row r="147" spans="4:14" x14ac:dyDescent="0.15"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</row>
    <row r="148" spans="4:14" x14ac:dyDescent="0.15"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</row>
    <row r="149" spans="4:14" x14ac:dyDescent="0.15"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</row>
    <row r="150" spans="4:14" x14ac:dyDescent="0.15"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</row>
    <row r="151" spans="4:14" x14ac:dyDescent="0.15"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</row>
    <row r="152" spans="4:14" x14ac:dyDescent="0.15"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</row>
    <row r="153" spans="4:14" x14ac:dyDescent="0.15"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</row>
    <row r="154" spans="4:14" x14ac:dyDescent="0.15"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</row>
    <row r="155" spans="4:14" x14ac:dyDescent="0.15"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</row>
    <row r="156" spans="4:14" x14ac:dyDescent="0.15"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</row>
    <row r="157" spans="4:14" x14ac:dyDescent="0.15"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</row>
    <row r="158" spans="4:14" x14ac:dyDescent="0.15"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</row>
    <row r="159" spans="4:14" x14ac:dyDescent="0.15"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</row>
    <row r="160" spans="4:14" x14ac:dyDescent="0.15"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</row>
    <row r="161" spans="4:14" x14ac:dyDescent="0.15"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</row>
    <row r="162" spans="4:14" x14ac:dyDescent="0.15"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</row>
    <row r="163" spans="4:14" x14ac:dyDescent="0.15"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</row>
    <row r="164" spans="4:14" x14ac:dyDescent="0.15"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</row>
    <row r="165" spans="4:14" x14ac:dyDescent="0.15"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7b25a1-3267-426f-88ce-cab7ea9d70df" xsi:nil="true"/>
    <lcf76f155ced4ddcb4097134ff3c332f xmlns="007abe7d-65ba-44e9-9870-b2b194cf04ff">
      <Terms xmlns="http://schemas.microsoft.com/office/infopath/2007/PartnerControls"/>
    </lcf76f155ced4ddcb4097134ff3c332f>
    <Notes_x002f_Status xmlns="007abe7d-65ba-44e9-9870-b2b194cf04ff" xsi:nil="true"/>
    <_Flow_SignoffStatus xmlns="007abe7d-65ba-44e9-9870-b2b194cf04f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881B87402BD34784C7283E79B6774C" ma:contentTypeVersion="20" ma:contentTypeDescription="Create a new document." ma:contentTypeScope="" ma:versionID="350ce35abf4f167995d5a07e6fe37a60">
  <xsd:schema xmlns:xsd="http://www.w3.org/2001/XMLSchema" xmlns:xs="http://www.w3.org/2001/XMLSchema" xmlns:p="http://schemas.microsoft.com/office/2006/metadata/properties" xmlns:ns2="007abe7d-65ba-44e9-9870-b2b194cf04ff" xmlns:ns3="6c7b25a1-3267-426f-88ce-cab7ea9d70df" targetNamespace="http://schemas.microsoft.com/office/2006/metadata/properties" ma:root="true" ma:fieldsID="11bc430e5ddd1e344ab7293ba0b672ed" ns2:_="" ns3:_="">
    <xsd:import namespace="007abe7d-65ba-44e9-9870-b2b194cf04ff"/>
    <xsd:import namespace="6c7b25a1-3267-426f-88ce-cab7ea9d70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_x002f_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7abe7d-65ba-44e9-9870-b2b194cf04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Notes_x002f_Status" ma:index="19" nillable="true" ma:displayName="Notes/Status " ma:format="Dropdown" ma:internalName="Notes_x002f_Status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74d2e07-7f2c-4482-8b29-89ebea009b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7b25a1-3267-426f-88ce-cab7ea9d70d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c80285a-0d0b-41d9-8661-562cf700ec97}" ma:internalName="TaxCatchAll" ma:showField="CatchAllData" ma:web="6c7b25a1-3267-426f-88ce-cab7ea9d70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FF17B8-057F-443F-81D7-8631466BF7A8}">
  <ds:schemaRefs>
    <ds:schemaRef ds:uri="http://schemas.microsoft.com/office/2006/metadata/properties"/>
    <ds:schemaRef ds:uri="http://schemas.microsoft.com/office/infopath/2007/PartnerControls"/>
    <ds:schemaRef ds:uri="f983c02f-8e4c-413e-8233-61a43bac8b22"/>
    <ds:schemaRef ds:uri="df973e7e-d561-4bdc-82b8-7e03e279031b"/>
    <ds:schemaRef ds:uri="6c7b25a1-3267-426f-88ce-cab7ea9d70df"/>
    <ds:schemaRef ds:uri="007abe7d-65ba-44e9-9870-b2b194cf04ff"/>
  </ds:schemaRefs>
</ds:datastoreItem>
</file>

<file path=customXml/itemProps2.xml><?xml version="1.0" encoding="utf-8"?>
<ds:datastoreItem xmlns:ds="http://schemas.openxmlformats.org/officeDocument/2006/customXml" ds:itemID="{D8AC7E7C-0472-464B-91F7-D5B270189B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7abe7d-65ba-44e9-9870-b2b194cf04ff"/>
    <ds:schemaRef ds:uri="6c7b25a1-3267-426f-88ce-cab7ea9d70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DDDA1D-2016-4794-AB85-BC4FA64AB2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Cost Proposal Spreadsheet</vt:lpstr>
      <vt:lpstr>Subcontractor Fee_MH Rate Table</vt:lpstr>
      <vt:lpstr>'Cost Proposal Spreadsheet'!Print_Area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S. Yesner</dc:creator>
  <cp:lastModifiedBy>Parth Parikh</cp:lastModifiedBy>
  <cp:lastPrinted>2025-10-14T14:18:44Z</cp:lastPrinted>
  <dcterms:created xsi:type="dcterms:W3CDTF">2019-02-26T20:36:24Z</dcterms:created>
  <dcterms:modified xsi:type="dcterms:W3CDTF">2025-11-20T15:00:56Z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0x010100F3881B87402BD34784C7283E79B6774C</vt:lpwstr>
  </property>
  <property fmtid="{D5CDD505-2E9C-101B-9397-08002B2CF9AE}" pid="3" name="MSIP_Label_196e6675-c0a9-4fb4-90ba-9df2389b72e5_Enabled">
    <vt:lpwstr>True</vt:lpwstr>
  </property>
  <property fmtid="{D5CDD505-2E9C-101B-9397-08002B2CF9AE}" pid="4" name="MSIP_Label_196e6675-c0a9-4fb4-90ba-9df2389b72e5_SiteId">
    <vt:lpwstr>e3333e00-c877-4b87-b6ad-45e942de1750</vt:lpwstr>
  </property>
  <property fmtid="{D5CDD505-2E9C-101B-9397-08002B2CF9AE}" pid="5" name="MSIP_Label_196e6675-c0a9-4fb4-90ba-9df2389b72e5_SetDate">
    <vt:lpwstr>2024-08-12T17:46:22Z</vt:lpwstr>
  </property>
  <property fmtid="{D5CDD505-2E9C-101B-9397-08002B2CF9AE}" pid="6" name="MSIP_Label_196e6675-c0a9-4fb4-90ba-9df2389b72e5_Name">
    <vt:lpwstr>UNCLASSIFIED</vt:lpwstr>
  </property>
  <property fmtid="{D5CDD505-2E9C-101B-9397-08002B2CF9AE}" pid="7" name="MSIP_Label_196e6675-c0a9-4fb4-90ba-9df2389b72e5_ActionId">
    <vt:lpwstr>650fa23e-1390-4940-be10-a907cf1d71db</vt:lpwstr>
  </property>
  <property fmtid="{D5CDD505-2E9C-101B-9397-08002B2CF9AE}" pid="8" name="MSIP_Label_196e6675-c0a9-4fb4-90ba-9df2389b72e5_Removed">
    <vt:lpwstr>False</vt:lpwstr>
  </property>
  <property fmtid="{D5CDD505-2E9C-101B-9397-08002B2CF9AE}" pid="9" name="MSIP_Label_196e6675-c0a9-4fb4-90ba-9df2389b72e5_Extended_MSFT_Method">
    <vt:lpwstr>Standard</vt:lpwstr>
  </property>
  <property fmtid="{D5CDD505-2E9C-101B-9397-08002B2CF9AE}" pid="10" name="Sensitivity">
    <vt:lpwstr>UNCLASSIFIED</vt:lpwstr>
  </property>
  <property fmtid="{D5CDD505-2E9C-101B-9397-08002B2CF9AE}" pid="11" name="MediaServiceImageTags">
    <vt:lpwstr/>
  </property>
</Properties>
</file>